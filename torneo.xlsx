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ejas" sheetId="1" r:id="rId5"/>
    <sheet state="visible" name="Suizo" sheetId="2" r:id="rId6"/>
    <sheet state="hidden" name="Calculo" sheetId="3" r:id="rId7"/>
    <sheet state="hidden" name="Emparejar" sheetId="4" r:id="rId8"/>
    <sheet state="visible" name="Tabla" sheetId="5" r:id="rId9"/>
    <sheet state="visible" name="Playoffs" sheetId="6" r:id="rId10"/>
    <sheet state="visible" name="Mapas" sheetId="7" r:id="rId11"/>
  </sheets>
  <definedNames/>
  <calcPr/>
</workbook>
</file>

<file path=xl/sharedStrings.xml><?xml version="1.0" encoding="utf-8"?>
<sst xmlns="http://schemas.openxmlformats.org/spreadsheetml/2006/main" count="162" uniqueCount="108">
  <si>
    <t>Coliseo Arena Gamer · CS2 Wingman 2v2</t>
  </si>
  <si>
    <t>Editá los nombres en amarillo. El ID no se cambia: los partidos usan el ID.</t>
  </si>
  <si>
    <t>ID</t>
  </si>
  <si>
    <t>Fase suiza · 3 rondas · BO1</t>
  </si>
  <si>
    <t>Pareja (nombre corto)</t>
  </si>
  <si>
    <t>Completá en amarillo: ID de cada pareja, rounds ganados y mapa. Wingman: gana quien llega a 9 rounds. No muevas las columnas.</t>
  </si>
  <si>
    <t>Pareja</t>
  </si>
  <si>
    <t>Jugador 1</t>
  </si>
  <si>
    <t>Jugador 2</t>
  </si>
  <si>
    <t>Partido</t>
  </si>
  <si>
    <t>PJ</t>
  </si>
  <si>
    <t>Ronda</t>
  </si>
  <si>
    <t>PG</t>
  </si>
  <si>
    <t>ID A</t>
  </si>
  <si>
    <t>PP</t>
  </si>
  <si>
    <t>Pareja A</t>
  </si>
  <si>
    <t>RF</t>
  </si>
  <si>
    <t>Rounds A</t>
  </si>
  <si>
    <t>Cardozo / Cardozo</t>
  </si>
  <si>
    <t>Rounds B</t>
  </si>
  <si>
    <t>RC</t>
  </si>
  <si>
    <t>Pareja B</t>
  </si>
  <si>
    <t>Dif</t>
  </si>
  <si>
    <t>José Cardozo</t>
  </si>
  <si>
    <t>Maximiliano Cardozo</t>
  </si>
  <si>
    <t>ID B</t>
  </si>
  <si>
    <t>Buchholz</t>
  </si>
  <si>
    <t>Mapa</t>
  </si>
  <si>
    <t>Clave orden</t>
  </si>
  <si>
    <t>Blas / Agustin</t>
  </si>
  <si>
    <t>Ganador</t>
  </si>
  <si>
    <t>id_ganador</t>
  </si>
  <si>
    <t>victorias_rival_A</t>
  </si>
  <si>
    <t>Blas Machado Susseret</t>
  </si>
  <si>
    <t>victorias_rival_B</t>
  </si>
  <si>
    <t>Agustin Chioraia</t>
  </si>
  <si>
    <t>Diego / (a confirmar)</t>
  </si>
  <si>
    <t>Diego Villan</t>
  </si>
  <si>
    <t>Ronda 2</t>
  </si>
  <si>
    <t>(a confirmar)</t>
  </si>
  <si>
    <t>Luciano / Gonzalo</t>
  </si>
  <si>
    <t>Luciano</t>
  </si>
  <si>
    <t>Gonzalo</t>
  </si>
  <si>
    <t>Francisco / Marcos</t>
  </si>
  <si>
    <t>Francisco</t>
  </si>
  <si>
    <t>Marcos</t>
  </si>
  <si>
    <t>Luciano / Lautaro</t>
  </si>
  <si>
    <t>Luciano Pua</t>
  </si>
  <si>
    <t>Lautaro Montes</t>
  </si>
  <si>
    <t>R1</t>
  </si>
  <si>
    <t>Simon / Joaquin</t>
  </si>
  <si>
    <t>Simon Cerra</t>
  </si>
  <si>
    <t>Joaquín Mucci</t>
  </si>
  <si>
    <t>Rodrigo / Nazareno</t>
  </si>
  <si>
    <t>Rodrigo Antonino</t>
  </si>
  <si>
    <t>Nazareno Acosta</t>
  </si>
  <si>
    <t>Bautista / Luciano</t>
  </si>
  <si>
    <t>Bautista Barrera</t>
  </si>
  <si>
    <t>Luciano Barrera</t>
  </si>
  <si>
    <t>lista</t>
  </si>
  <si>
    <t>Lucas / Martin</t>
  </si>
  <si>
    <t>Lucas Tissera</t>
  </si>
  <si>
    <t>Martín Rodríguez</t>
  </si>
  <si>
    <t>Agustin / Rodrigo</t>
  </si>
  <si>
    <t>Agustin Caceres</t>
  </si>
  <si>
    <t>Rodrigo Dimare</t>
  </si>
  <si>
    <t>Enzo / Gonza</t>
  </si>
  <si>
    <t>Enzo</t>
  </si>
  <si>
    <t>Gonza</t>
  </si>
  <si>
    <t>Clave</t>
  </si>
  <si>
    <t>Pos</t>
  </si>
  <si>
    <t>ID en pos</t>
  </si>
  <si>
    <t>Inferno</t>
  </si>
  <si>
    <t>Nuke</t>
  </si>
  <si>
    <t>Overpass</t>
  </si>
  <si>
    <t>Tabla · Fase suiza</t>
  </si>
  <si>
    <t>Partidos jugados</t>
  </si>
  <si>
    <t>Se ordena sola. Pasan los 8 primeros (verde); quedan afuera 4 (rojo). Desempates: PG, diferencia de rounds, Buchholz, rounds a favor.</t>
  </si>
  <si>
    <t>Estado</t>
  </si>
  <si>
    <t>id</t>
  </si>
  <si>
    <t>R2</t>
  </si>
  <si>
    <t>R3</t>
  </si>
  <si>
    <t>Paso</t>
  </si>
  <si>
    <t>PosA</t>
  </si>
  <si>
    <t>PosB</t>
  </si>
  <si>
    <t>Hoja de cálculo interna: no editar. Clave = PG &gt; Dif. rounds &gt; Buchholz &gt; Rounds a favor &gt; ID (desempate final).</t>
  </si>
  <si>
    <t>Ronda 1: sorteo al azar. Rondas 2 y 3: los cruces aparecen solos cuando termina la ronda anterior (mismo récord, sin repetir rival).</t>
  </si>
  <si>
    <t>Si querés cambiar un cruce a mano, escribí el ID encima (esa celda deja de ser automática).</t>
  </si>
  <si>
    <t>Si un partido termina 8-8, jueguen overtime y anotá el resultado final.</t>
  </si>
  <si>
    <t>Playoffs</t>
  </si>
  <si>
    <t>Se arman solos desde la tabla (1v8, 4v5, 2v7, 3v6). Cuartos y semis BO1 (rounds). Final BO3: anotá mapas ganados (ej. 2-1).</t>
  </si>
  <si>
    <t>Llave</t>
  </si>
  <si>
    <t>Seed A</t>
  </si>
  <si>
    <t>Res. A</t>
  </si>
  <si>
    <t>Res. B</t>
  </si>
  <si>
    <t>Seed B</t>
  </si>
  <si>
    <t>Mapa(s)</t>
  </si>
  <si>
    <t>Cuartos 1</t>
  </si>
  <si>
    <t>Cuartos 2</t>
  </si>
  <si>
    <t>Cuartos 3</t>
  </si>
  <si>
    <t>Cuartos 4</t>
  </si>
  <si>
    <t>Pool de mapas</t>
  </si>
  <si>
    <t>Semi 1</t>
  </si>
  <si>
    <t>Editá la lista según el pool Wingman que tengan activo en CS2. Aparece como desplegable en la columna Mapa.</t>
  </si>
  <si>
    <t>Semi 2</t>
  </si>
  <si>
    <t>Final</t>
  </si>
  <si>
    <t>CAMPEÓN</t>
  </si>
  <si>
    <t>Ronda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</si>
</sst>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DD02C4"/>
      <name val="Arial"/>
    </font>
    <font>
      <i/>
      <sz val="9.0"/>
      <color rgb="FF666666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DD02C4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DD02C4"/>
      <name val="Arial"/>
    </font>
    <font>
      <b/>
      <sz val="14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B0B0D"/>
        <bgColor rgb="FF0B0B0D"/>
      </patternFill>
    </fill>
    <fill>
      <patternFill patternType="solid">
        <fgColor rgb="FFFFF2A8"/>
        <bgColor rgb="FFFFF2A8"/>
      </patternFill>
    </fill>
    <fill>
      <patternFill patternType="solid">
        <fgColor rgb="FFFBE3F7"/>
        <bgColor rgb="FFFBE3F7"/>
      </patternFill>
    </fill>
    <fill>
      <patternFill patternType="solid">
        <fgColor rgb="FFEDEDF2"/>
        <bgColor rgb="FFEDEDF2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DD02C4"/>
      </top>
      <bottom style="thin">
        <color rgb="FFCCCCCC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3" fontId="5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2" fillId="4" fontId="5" numFmtId="0" xfId="0" applyAlignment="1" applyBorder="1" applyFill="1" applyFont="1">
      <alignment horizontal="center" shrinkToFit="0" vertical="center" wrapText="0"/>
    </xf>
    <xf borderId="2" fillId="4" fontId="6" numFmtId="0" xfId="0" applyAlignment="1" applyBorder="1" applyFill="1" applyFont="1">
      <alignment horizontal="center" shrinkToFit="0" vertical="center" wrapText="0"/>
    </xf>
    <xf borderId="0" fillId="0" fontId="7" numFmtId="0" xfId="0" applyFont="1"/>
    <xf borderId="2" fillId="3" fontId="5" numFmtId="0" xfId="0" applyAlignment="1" applyBorder="1" applyFill="1" applyFont="1">
      <alignment horizontal="center" shrinkToFit="0" vertical="center" wrapText="0"/>
    </xf>
    <xf borderId="2" fillId="4" fontId="5" numFmtId="0" xfId="0" applyAlignment="1" applyBorder="1" applyFill="1" applyFont="1">
      <alignment shrinkToFit="0" vertical="bottom" wrapText="0"/>
    </xf>
    <xf borderId="2" fillId="3" fontId="5" numFmtId="0" xfId="0" applyAlignment="1" applyBorder="1" applyFill="1" applyFont="1">
      <alignment horizontal="center" readingOrder="0" shrinkToFit="0" vertical="center" wrapText="0"/>
    </xf>
    <xf borderId="2" fillId="4" fontId="4" numFmtId="0" xfId="0" applyAlignment="1" applyBorder="1" applyFill="1" applyFont="1">
      <alignment shrinkToFit="0" vertical="bottom" wrapText="0"/>
    </xf>
    <xf borderId="2" fillId="0" fontId="5" numFmtId="0" xfId="0" applyAlignment="1" applyBorder="1" applyFont="1">
      <alignment horizontal="center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4" fontId="6" numFmtId="0" xfId="0" applyAlignment="1" applyBorder="1" applyFill="1" applyFont="1">
      <alignment horizontal="center" shrinkToFit="0" vertical="center" wrapText="0"/>
    </xf>
    <xf borderId="1" fillId="3" fontId="5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horizontal="center" readingOrder="0" shrinkToFit="0" vertical="center" wrapText="0"/>
    </xf>
    <xf borderId="1" fillId="4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2" fillId="5" fontId="5" numFmtId="0" xfId="0" applyAlignment="1" applyBorder="1" applyFill="1" applyFont="1">
      <alignment horizontal="center" shrinkToFit="0" vertical="center" wrapText="0"/>
    </xf>
    <xf borderId="2" fillId="5" fontId="6" numFmtId="0" xfId="0" applyAlignment="1" applyBorder="1" applyFill="1" applyFont="1">
      <alignment horizontal="center" shrinkToFit="0" vertical="center" wrapText="0"/>
    </xf>
    <xf borderId="2" fillId="5" fontId="5" numFmtId="0" xfId="0" applyAlignment="1" applyBorder="1" applyFill="1" applyFont="1">
      <alignment shrinkToFit="0" vertical="bottom" wrapText="0"/>
    </xf>
    <xf borderId="2" fillId="5" fontId="4" numFmtId="0" xfId="0" applyAlignment="1" applyBorder="1" applyFill="1" applyFont="1">
      <alignment shrinkToFit="0" vertical="bottom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5" fontId="6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ill="1" applyFont="1">
      <alignment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readingOrder="0"/>
    </xf>
    <xf borderId="1" fillId="0" fontId="5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C9F2D0"/>
          <bgColor rgb="FFC9F2D0"/>
        </patternFill>
      </fill>
      <border/>
    </dxf>
    <dxf>
      <font/>
      <fill>
        <patternFill patternType="solid">
          <fgColor rgb="FFF8CFCF"/>
          <bgColor rgb="FFF8CFC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4" width="26.0"/>
    <col customWidth="1" min="5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4</v>
      </c>
      <c r="C4" s="3" t="s">
        <v>7</v>
      </c>
      <c r="D4" s="3" t="s">
        <v>8</v>
      </c>
    </row>
    <row r="5">
      <c r="A5" s="4">
        <v>1.0</v>
      </c>
      <c r="B5" s="5" t="s">
        <v>18</v>
      </c>
      <c r="C5" s="5" t="s">
        <v>23</v>
      </c>
      <c r="D5" s="5" t="s">
        <v>24</v>
      </c>
    </row>
    <row r="6">
      <c r="A6" s="4">
        <v>2.0</v>
      </c>
      <c r="B6" s="6" t="s">
        <v>29</v>
      </c>
      <c r="C6" s="5" t="s">
        <v>33</v>
      </c>
      <c r="D6" s="5" t="s">
        <v>35</v>
      </c>
    </row>
    <row r="7">
      <c r="A7" s="4">
        <v>3.0</v>
      </c>
      <c r="B7" s="6" t="s">
        <v>36</v>
      </c>
      <c r="C7" s="5" t="s">
        <v>37</v>
      </c>
      <c r="D7" s="5" t="s">
        <v>39</v>
      </c>
    </row>
    <row r="8">
      <c r="A8" s="4">
        <v>4.0</v>
      </c>
      <c r="B8" s="5" t="s">
        <v>40</v>
      </c>
      <c r="C8" s="5" t="s">
        <v>41</v>
      </c>
      <c r="D8" s="5" t="s">
        <v>42</v>
      </c>
    </row>
    <row r="9">
      <c r="A9" s="4">
        <v>5.0</v>
      </c>
      <c r="B9" s="5" t="s">
        <v>43</v>
      </c>
      <c r="C9" s="5" t="s">
        <v>44</v>
      </c>
      <c r="D9" s="5" t="s">
        <v>45</v>
      </c>
    </row>
    <row r="10">
      <c r="A10" s="4">
        <v>6.0</v>
      </c>
      <c r="B10" s="6" t="s">
        <v>46</v>
      </c>
      <c r="C10" s="5" t="s">
        <v>47</v>
      </c>
      <c r="D10" s="5" t="s">
        <v>48</v>
      </c>
    </row>
    <row r="11">
      <c r="A11" s="4">
        <v>7.0</v>
      </c>
      <c r="B11" s="6" t="s">
        <v>50</v>
      </c>
      <c r="C11" s="5" t="s">
        <v>51</v>
      </c>
      <c r="D11" s="5" t="s">
        <v>52</v>
      </c>
    </row>
    <row r="12">
      <c r="A12" s="4">
        <v>8.0</v>
      </c>
      <c r="B12" s="6" t="s">
        <v>53</v>
      </c>
      <c r="C12" s="5" t="s">
        <v>54</v>
      </c>
      <c r="D12" s="5" t="s">
        <v>55</v>
      </c>
    </row>
    <row r="13">
      <c r="A13" s="4">
        <v>9.0</v>
      </c>
      <c r="B13" s="6" t="s">
        <v>56</v>
      </c>
      <c r="C13" s="5" t="s">
        <v>57</v>
      </c>
      <c r="D13" s="5" t="s">
        <v>58</v>
      </c>
    </row>
    <row r="14">
      <c r="A14" s="4">
        <v>10.0</v>
      </c>
      <c r="B14" s="6" t="s">
        <v>60</v>
      </c>
      <c r="C14" s="5" t="s">
        <v>61</v>
      </c>
      <c r="D14" s="5" t="s">
        <v>62</v>
      </c>
    </row>
    <row r="15">
      <c r="A15" s="4">
        <v>11.0</v>
      </c>
      <c r="B15" s="6" t="s">
        <v>63</v>
      </c>
      <c r="C15" s="5" t="s">
        <v>64</v>
      </c>
      <c r="D15" s="5" t="s">
        <v>65</v>
      </c>
    </row>
    <row r="16">
      <c r="A16" s="4">
        <v>12.0</v>
      </c>
      <c r="B16" s="5" t="s">
        <v>66</v>
      </c>
      <c r="C16" s="5" t="s">
        <v>67</v>
      </c>
      <c r="D16" s="5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2C4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7.0"/>
    <col customWidth="1" min="3" max="3" width="6.0"/>
    <col customWidth="1" min="4" max="4" width="22.0"/>
    <col customWidth="1" min="5" max="6" width="9.0"/>
    <col customWidth="1" min="7" max="7" width="22.0"/>
    <col customWidth="1" min="8" max="8" width="6.0"/>
    <col customWidth="1" min="9" max="9" width="12.0"/>
    <col customWidth="1" min="10" max="10" width="22.0"/>
    <col customWidth="1" hidden="1" min="11" max="13" width="10.0"/>
    <col customWidth="1" min="14" max="26" width="8.71"/>
  </cols>
  <sheetData>
    <row r="1">
      <c r="A1" s="1" t="s">
        <v>3</v>
      </c>
    </row>
    <row r="2">
      <c r="A2" s="2" t="s">
        <v>5</v>
      </c>
    </row>
    <row r="4">
      <c r="A4" s="3" t="s">
        <v>9</v>
      </c>
      <c r="B4" s="3" t="s">
        <v>11</v>
      </c>
      <c r="C4" s="3" t="s">
        <v>13</v>
      </c>
      <c r="D4" s="3" t="s">
        <v>15</v>
      </c>
      <c r="E4" s="3" t="s">
        <v>17</v>
      </c>
      <c r="F4" s="3" t="s">
        <v>19</v>
      </c>
      <c r="G4" s="3" t="s">
        <v>21</v>
      </c>
      <c r="H4" s="3" t="s">
        <v>25</v>
      </c>
      <c r="I4" s="3" t="s">
        <v>27</v>
      </c>
      <c r="J4" s="3" t="s">
        <v>30</v>
      </c>
      <c r="K4" s="3" t="s">
        <v>31</v>
      </c>
      <c r="L4" s="3" t="s">
        <v>32</v>
      </c>
      <c r="M4" s="3" t="s">
        <v>34</v>
      </c>
    </row>
    <row r="5">
      <c r="A5" s="8">
        <v>1.0</v>
      </c>
      <c r="B5" s="9" t="s">
        <v>49</v>
      </c>
      <c r="C5" s="11">
        <v>1.0</v>
      </c>
      <c r="D5" s="12" t="str">
        <f t="array" ref="D5">IF(C5="","",INDEX(Parejas!$B$5:$B$16,C5))</f>
        <v>Cardozo / Cardozo</v>
      </c>
      <c r="E5" s="13">
        <v>9.0</v>
      </c>
      <c r="F5" s="13">
        <v>4.0</v>
      </c>
      <c r="G5" s="12" t="str">
        <f t="array" ref="G5">IF(H5="","",INDEX(Parejas!$B$5:$B$16,H5))</f>
        <v>Simon / Joaquin</v>
      </c>
      <c r="H5" s="11">
        <v>7.0</v>
      </c>
      <c r="I5" s="13" t="s">
        <v>72</v>
      </c>
      <c r="J5" s="14" t="str">
        <f t="array" ref="J5">IF(K5="",IF(AND(E5&lt;&gt;"",F5&lt;&gt;"",E5=F5),"EMPATE: jugar OT",""),INDEX(Parejas!$B$5:$B$16,K5))</f>
        <v>Cardozo / Cardozo</v>
      </c>
      <c r="K5" s="15">
        <f t="shared" ref="K5:K22" si="1">IF(OR(C5="",H5="",E5="",F5=""),"",IF(E5&gt;F5,C5,IF(F5&gt;E5,H5,"")))</f>
        <v>1</v>
      </c>
      <c r="L5" s="15">
        <f t="array" ref="L5">IF(K5="","",INDEX(Calculo!$D$2:$D$13,H5))</f>
        <v>1</v>
      </c>
      <c r="M5" s="15">
        <f t="array" ref="M5">IF(K5="","",INDEX(Calculo!$D$2:$D$13,C5))</f>
        <v>3</v>
      </c>
    </row>
    <row r="6">
      <c r="A6" s="16">
        <v>2.0</v>
      </c>
      <c r="B6" s="17" t="s">
        <v>49</v>
      </c>
      <c r="C6" s="18">
        <v>3.0</v>
      </c>
      <c r="D6" s="19" t="str">
        <f t="array" ref="D6">IF(C6="","",INDEX(Parejas!$B$5:$B$16,C6))</f>
        <v>Diego / (a confirmar)</v>
      </c>
      <c r="E6" s="20">
        <v>7.0</v>
      </c>
      <c r="F6" s="20">
        <v>9.0</v>
      </c>
      <c r="G6" s="19" t="str">
        <f t="array" ref="G6">IF(H6="","",INDEX(Parejas!$B$5:$B$16,H6))</f>
        <v>Luciano / Gonzalo</v>
      </c>
      <c r="H6" s="18">
        <v>4.0</v>
      </c>
      <c r="I6" s="20" t="s">
        <v>72</v>
      </c>
      <c r="J6" s="21" t="str">
        <f t="array" ref="J6">IF(K6="",IF(AND(E6&lt;&gt;"",F6&lt;&gt;"",E6=F6),"EMPATE: jugar OT",""),INDEX(Parejas!$B$5:$B$16,K6))</f>
        <v>Luciano / Gonzalo</v>
      </c>
      <c r="K6" s="22">
        <f t="shared" si="1"/>
        <v>4</v>
      </c>
      <c r="L6" s="22">
        <f t="array" ref="L6">IF(K6="","",INDEX(Calculo!$D$2:$D$13,H6))</f>
        <v>1</v>
      </c>
      <c r="M6" s="22">
        <f t="array" ref="M6">IF(K6="","",INDEX(Calculo!$D$2:$D$13,C6))</f>
        <v>1</v>
      </c>
    </row>
    <row r="7">
      <c r="A7" s="16">
        <v>3.0</v>
      </c>
      <c r="B7" s="17" t="s">
        <v>49</v>
      </c>
      <c r="C7" s="18">
        <v>11.0</v>
      </c>
      <c r="D7" s="19" t="str">
        <f t="array" ref="D7">IF(C7="","",INDEX(Parejas!$B$5:$B$16,C7))</f>
        <v>Agustin / Rodrigo</v>
      </c>
      <c r="E7" s="20">
        <v>3.0</v>
      </c>
      <c r="F7" s="20">
        <v>9.0</v>
      </c>
      <c r="G7" s="19" t="str">
        <f t="array" ref="G7">IF(H7="","",INDEX(Parejas!$B$5:$B$16,H7))</f>
        <v>Francisco / Marcos</v>
      </c>
      <c r="H7" s="18">
        <v>5.0</v>
      </c>
      <c r="I7" s="20" t="s">
        <v>73</v>
      </c>
      <c r="J7" s="21" t="str">
        <f t="array" ref="J7">IF(K7="",IF(AND(E7&lt;&gt;"",F7&lt;&gt;"",E7=F7),"EMPATE: jugar OT",""),INDEX(Parejas!$B$5:$B$16,K7))</f>
        <v>Francisco / Marcos</v>
      </c>
      <c r="K7" s="22">
        <f t="shared" si="1"/>
        <v>5</v>
      </c>
      <c r="L7" s="22">
        <f t="array" ref="L7">IF(K7="","",INDEX(Calculo!$D$2:$D$13,H7))</f>
        <v>2</v>
      </c>
      <c r="M7" s="22">
        <f t="array" ref="M7">IF(K7="","",INDEX(Calculo!$D$2:$D$13,C7))</f>
        <v>2</v>
      </c>
    </row>
    <row r="8">
      <c r="A8" s="16">
        <v>4.0</v>
      </c>
      <c r="B8" s="17" t="s">
        <v>49</v>
      </c>
      <c r="C8" s="18">
        <v>8.0</v>
      </c>
      <c r="D8" s="19" t="str">
        <f t="array" ref="D8">IF(C8="","",INDEX(Parejas!$B$5:$B$16,C8))</f>
        <v>Rodrigo / Nazareno</v>
      </c>
      <c r="E8" s="20">
        <v>7.0</v>
      </c>
      <c r="F8" s="20">
        <v>9.0</v>
      </c>
      <c r="G8" s="19" t="str">
        <f t="array" ref="G8">IF(H8="","",INDEX(Parejas!$B$5:$B$16,H8))</f>
        <v>Enzo / Gonza</v>
      </c>
      <c r="H8" s="18">
        <v>12.0</v>
      </c>
      <c r="I8" s="20" t="s">
        <v>74</v>
      </c>
      <c r="J8" s="21" t="str">
        <f t="array" ref="J8">IF(K8="",IF(AND(E8&lt;&gt;"",F8&lt;&gt;"",E8=F8),"EMPATE: jugar OT",""),INDEX(Parejas!$B$5:$B$16,K8))</f>
        <v>Enzo / Gonza</v>
      </c>
      <c r="K8" s="22">
        <f t="shared" si="1"/>
        <v>12</v>
      </c>
      <c r="L8" s="22">
        <f t="array" ref="L8">IF(K8="","",INDEX(Calculo!$D$2:$D$13,H8))</f>
        <v>2</v>
      </c>
      <c r="M8" s="22">
        <f t="array" ref="M8">IF(K8="","",INDEX(Calculo!$D$2:$D$13,C8))</f>
        <v>1</v>
      </c>
    </row>
    <row r="9">
      <c r="A9" s="16">
        <v>5.0</v>
      </c>
      <c r="B9" s="17" t="s">
        <v>49</v>
      </c>
      <c r="C9" s="18">
        <v>10.0</v>
      </c>
      <c r="D9" s="19" t="str">
        <f t="array" ref="D9">IF(C9="","",INDEX(Parejas!$B$5:$B$16,C9))</f>
        <v>Lucas / Martin</v>
      </c>
      <c r="E9" s="20">
        <v>7.0</v>
      </c>
      <c r="F9" s="20">
        <v>9.0</v>
      </c>
      <c r="G9" s="19" t="str">
        <f t="array" ref="G9">IF(H9="","",INDEX(Parejas!$B$5:$B$16,H9))</f>
        <v>Bautista / Luciano</v>
      </c>
      <c r="H9" s="18">
        <v>9.0</v>
      </c>
      <c r="I9" s="20" t="s">
        <v>73</v>
      </c>
      <c r="J9" s="21" t="str">
        <f t="array" ref="J9">IF(K9="",IF(AND(E9&lt;&gt;"",F9&lt;&gt;"",E9=F9),"EMPATE: jugar OT",""),INDEX(Parejas!$B$5:$B$16,K9))</f>
        <v>Bautista / Luciano</v>
      </c>
      <c r="K9" s="22">
        <f t="shared" si="1"/>
        <v>9</v>
      </c>
      <c r="L9" s="22">
        <f t="array" ref="L9">IF(K9="","",INDEX(Calculo!$D$2:$D$13,H9))</f>
        <v>3</v>
      </c>
      <c r="M9" s="22">
        <f t="array" ref="M9">IF(K9="","",INDEX(Calculo!$D$2:$D$13,C9))</f>
        <v>0</v>
      </c>
    </row>
    <row r="10">
      <c r="A10" s="16">
        <v>6.0</v>
      </c>
      <c r="B10" s="17" t="s">
        <v>49</v>
      </c>
      <c r="C10" s="18">
        <v>6.0</v>
      </c>
      <c r="D10" s="19" t="str">
        <f t="array" ref="D10">IF(C10="","",INDEX(Parejas!$B$5:$B$16,C10))</f>
        <v>Luciano / Lautaro</v>
      </c>
      <c r="E10" s="20">
        <v>1.0</v>
      </c>
      <c r="F10" s="20">
        <v>9.0</v>
      </c>
      <c r="G10" s="19" t="str">
        <f t="array" ref="G10">IF(H10="","",INDEX(Parejas!$B$5:$B$16,H10))</f>
        <v>Blas / Agustin</v>
      </c>
      <c r="H10" s="18">
        <v>2.0</v>
      </c>
      <c r="I10" s="20" t="s">
        <v>72</v>
      </c>
      <c r="J10" s="21" t="str">
        <f t="array" ref="J10">IF(K10="",IF(AND(E10&lt;&gt;"",F10&lt;&gt;"",E10=F10),"EMPATE: jugar OT",""),INDEX(Parejas!$B$5:$B$16,K10))</f>
        <v>Blas / Agustin</v>
      </c>
      <c r="K10" s="22">
        <f t="shared" si="1"/>
        <v>2</v>
      </c>
      <c r="L10" s="22">
        <f t="array" ref="L10">IF(K10="","",INDEX(Calculo!$D$2:$D$13,H10))</f>
        <v>2</v>
      </c>
      <c r="M10" s="22">
        <f t="array" ref="M10">IF(K10="","",INDEX(Calculo!$D$2:$D$13,C10))</f>
        <v>0</v>
      </c>
    </row>
    <row r="11">
      <c r="A11" s="25">
        <v>7.0</v>
      </c>
      <c r="B11" s="26" t="s">
        <v>80</v>
      </c>
      <c r="C11" s="25">
        <f>IF(Emparejar!$D$1=1,Emparejar!$D$17,"")</f>
        <v>2</v>
      </c>
      <c r="D11" s="27" t="str">
        <f t="array" ref="D11">IF(C11="","",INDEX(Parejas!$B$5:$B$16,C11))</f>
        <v>Blas / Agustin</v>
      </c>
      <c r="E11" s="13">
        <v>3.0</v>
      </c>
      <c r="F11" s="13">
        <v>9.0</v>
      </c>
      <c r="G11" s="27" t="str">
        <f t="array" ref="G11">IF(H11="","",INDEX(Parejas!$B$5:$B$16,H11))</f>
        <v>Francisco / Marcos</v>
      </c>
      <c r="H11" s="25">
        <f>IF(Emparejar!$D$1=1,Emparejar!$E$17,"")</f>
        <v>5</v>
      </c>
      <c r="I11" s="11"/>
      <c r="J11" s="28" t="str">
        <f t="array" ref="J11">IF(K11="",IF(AND(E11&lt;&gt;"",F11&lt;&gt;"",E11=F11),"EMPATE: jugar OT",""),INDEX(Parejas!$B$5:$B$16,K11))</f>
        <v>Francisco / Marcos</v>
      </c>
      <c r="K11" s="15">
        <f t="shared" si="1"/>
        <v>5</v>
      </c>
      <c r="L11" s="15">
        <f t="array" ref="L11">IF(K11="","",INDEX(Calculo!$D$2:$D$13,H11))</f>
        <v>2</v>
      </c>
      <c r="M11" s="15">
        <f t="array" ref="M11">IF(K11="","",INDEX(Calculo!$D$2:$D$13,C11))</f>
        <v>2</v>
      </c>
    </row>
    <row r="12">
      <c r="A12" s="29">
        <v>8.0</v>
      </c>
      <c r="B12" s="30" t="s">
        <v>80</v>
      </c>
      <c r="C12" s="29">
        <f>IF(Emparejar!$D$1=1,Emparejar!$D$18,"")</f>
        <v>1</v>
      </c>
      <c r="D12" s="31" t="str">
        <f t="array" ref="D12">IF(C12="","",INDEX(Parejas!$B$5:$B$16,C12))</f>
        <v>Cardozo / Cardozo</v>
      </c>
      <c r="E12" s="20">
        <v>9.0</v>
      </c>
      <c r="F12" s="20">
        <v>1.0</v>
      </c>
      <c r="G12" s="31" t="str">
        <f t="array" ref="G12">IF(H12="","",INDEX(Parejas!$B$5:$B$16,H12))</f>
        <v>Luciano / Gonzalo</v>
      </c>
      <c r="H12" s="29">
        <f>IF(Emparejar!$D$1=1,Emparejar!$E$18,"")</f>
        <v>4</v>
      </c>
      <c r="I12" s="18"/>
      <c r="J12" s="32" t="str">
        <f t="array" ref="J12">IF(K12="",IF(AND(E12&lt;&gt;"",F12&lt;&gt;"",E12=F12),"EMPATE: jugar OT",""),INDEX(Parejas!$B$5:$B$16,K12))</f>
        <v>Cardozo / Cardozo</v>
      </c>
      <c r="K12" s="22">
        <f t="shared" si="1"/>
        <v>1</v>
      </c>
      <c r="L12" s="22">
        <f t="array" ref="L12">IF(K12="","",INDEX(Calculo!$D$2:$D$13,H12))</f>
        <v>1</v>
      </c>
      <c r="M12" s="22">
        <f t="array" ref="M12">IF(K12="","",INDEX(Calculo!$D$2:$D$13,C12))</f>
        <v>3</v>
      </c>
    </row>
    <row r="13">
      <c r="A13" s="29">
        <v>9.0</v>
      </c>
      <c r="B13" s="30" t="s">
        <v>80</v>
      </c>
      <c r="C13" s="29">
        <f>IF(Emparejar!$D$1=1,Emparejar!$D$19,"")</f>
        <v>9</v>
      </c>
      <c r="D13" s="31" t="str">
        <f t="array" ref="D13">IF(C13="","",INDEX(Parejas!$B$5:$B$16,C13))</f>
        <v>Bautista / Luciano</v>
      </c>
      <c r="E13" s="20">
        <v>9.0</v>
      </c>
      <c r="F13" s="20">
        <v>0.0</v>
      </c>
      <c r="G13" s="31" t="str">
        <f t="array" ref="G13">IF(H13="","",INDEX(Parejas!$B$5:$B$16,H13))</f>
        <v>Enzo / Gonza</v>
      </c>
      <c r="H13" s="29">
        <f>IF(Emparejar!$D$1=1,Emparejar!$E$19,"")</f>
        <v>12</v>
      </c>
      <c r="I13" s="18"/>
      <c r="J13" s="32" t="str">
        <f t="array" ref="J13">IF(K13="",IF(AND(E13&lt;&gt;"",F13&lt;&gt;"",E13=F13),"EMPATE: jugar OT",""),INDEX(Parejas!$B$5:$B$16,K13))</f>
        <v>Bautista / Luciano</v>
      </c>
      <c r="K13" s="22">
        <f t="shared" si="1"/>
        <v>9</v>
      </c>
      <c r="L13" s="22">
        <f t="array" ref="L13">IF(K13="","",INDEX(Calculo!$D$2:$D$13,H13))</f>
        <v>2</v>
      </c>
      <c r="M13" s="22">
        <f t="array" ref="M13">IF(K13="","",INDEX(Calculo!$D$2:$D$13,C13))</f>
        <v>3</v>
      </c>
    </row>
    <row r="14">
      <c r="A14" s="29">
        <v>10.0</v>
      </c>
      <c r="B14" s="30" t="s">
        <v>80</v>
      </c>
      <c r="C14" s="29">
        <f>IF(Emparejar!$D$1=1,Emparejar!$D$20,"")</f>
        <v>3</v>
      </c>
      <c r="D14" s="31" t="str">
        <f t="array" ref="D14">IF(C14="","",INDEX(Parejas!$B$5:$B$16,C14))</f>
        <v>Diego / (a confirmar)</v>
      </c>
      <c r="E14" s="20">
        <v>9.0</v>
      </c>
      <c r="F14" s="20">
        <v>2.0</v>
      </c>
      <c r="G14" s="31" t="str">
        <f t="array" ref="G14">IF(H14="","",INDEX(Parejas!$B$5:$B$16,H14))</f>
        <v>Rodrigo / Nazareno</v>
      </c>
      <c r="H14" s="29">
        <f>IF(Emparejar!$D$1=1,Emparejar!$E$20,"")</f>
        <v>8</v>
      </c>
      <c r="I14" s="18"/>
      <c r="J14" s="32" t="str">
        <f t="array" ref="J14">IF(K14="",IF(AND(E14&lt;&gt;"",F14&lt;&gt;"",E14=F14),"EMPATE: jugar OT",""),INDEX(Parejas!$B$5:$B$16,K14))</f>
        <v>Diego / (a confirmar)</v>
      </c>
      <c r="K14" s="22">
        <f t="shared" si="1"/>
        <v>3</v>
      </c>
      <c r="L14" s="22">
        <f t="array" ref="L14">IF(K14="","",INDEX(Calculo!$D$2:$D$13,H14))</f>
        <v>1</v>
      </c>
      <c r="M14" s="22">
        <f t="array" ref="M14">IF(K14="","",INDEX(Calculo!$D$2:$D$13,C14))</f>
        <v>1</v>
      </c>
    </row>
    <row r="15">
      <c r="A15" s="29">
        <v>11.0</v>
      </c>
      <c r="B15" s="30" t="s">
        <v>80</v>
      </c>
      <c r="C15" s="29">
        <f>IF(Emparejar!$D$1=1,Emparejar!$D$21,"")</f>
        <v>10</v>
      </c>
      <c r="D15" s="31" t="str">
        <f t="array" ref="D15">IF(C15="","",INDEX(Parejas!$B$5:$B$16,C15))</f>
        <v>Lucas / Martin</v>
      </c>
      <c r="E15" s="20">
        <v>5.0</v>
      </c>
      <c r="F15" s="20">
        <v>9.0</v>
      </c>
      <c r="G15" s="31" t="str">
        <f t="array" ref="G15">IF(H15="","",INDEX(Parejas!$B$5:$B$16,H15))</f>
        <v>Simon / Joaquin</v>
      </c>
      <c r="H15" s="29">
        <f>IF(Emparejar!$D$1=1,Emparejar!$E$21,"")</f>
        <v>7</v>
      </c>
      <c r="I15" s="18"/>
      <c r="J15" s="32" t="str">
        <f t="array" ref="J15">IF(K15="",IF(AND(E15&lt;&gt;"",F15&lt;&gt;"",E15=F15),"EMPATE: jugar OT",""),INDEX(Parejas!$B$5:$B$16,K15))</f>
        <v>Simon / Joaquin</v>
      </c>
      <c r="K15" s="22">
        <f t="shared" si="1"/>
        <v>7</v>
      </c>
      <c r="L15" s="22">
        <f t="array" ref="L15">IF(K15="","",INDEX(Calculo!$D$2:$D$13,H15))</f>
        <v>1</v>
      </c>
      <c r="M15" s="22">
        <f t="array" ref="M15">IF(K15="","",INDEX(Calculo!$D$2:$D$13,C15))</f>
        <v>0</v>
      </c>
      <c r="T15" s="33"/>
    </row>
    <row r="16">
      <c r="A16" s="29">
        <v>12.0</v>
      </c>
      <c r="B16" s="30" t="s">
        <v>80</v>
      </c>
      <c r="C16" s="29">
        <f>IF(Emparejar!$D$1=1,Emparejar!$D$22,"")</f>
        <v>11</v>
      </c>
      <c r="D16" s="31" t="str">
        <f t="array" ref="D16">IF(C16="","",INDEX(Parejas!$B$5:$B$16,C16))</f>
        <v>Agustin / Rodrigo</v>
      </c>
      <c r="E16" s="20">
        <v>9.0</v>
      </c>
      <c r="F16" s="20">
        <v>7.0</v>
      </c>
      <c r="G16" s="31" t="str">
        <f t="array" ref="G16">IF(H16="","",INDEX(Parejas!$B$5:$B$16,H16))</f>
        <v>Luciano / Lautaro</v>
      </c>
      <c r="H16" s="29">
        <f>IF(Emparejar!$D$1=1,Emparejar!$E$22,"")</f>
        <v>6</v>
      </c>
      <c r="I16" s="18"/>
      <c r="J16" s="32" t="str">
        <f t="array" ref="J16">IF(K16="",IF(AND(E16&lt;&gt;"",F16&lt;&gt;"",E16=F16),"EMPATE: jugar OT",""),INDEX(Parejas!$B$5:$B$16,K16))</f>
        <v>Agustin / Rodrigo</v>
      </c>
      <c r="K16" s="22">
        <f t="shared" si="1"/>
        <v>11</v>
      </c>
      <c r="L16" s="22">
        <f t="array" ref="L16">IF(K16="","",INDEX(Calculo!$D$2:$D$13,H16))</f>
        <v>0</v>
      </c>
      <c r="M16" s="22">
        <f t="array" ref="M16">IF(K16="","",INDEX(Calculo!$D$2:$D$13,C16))</f>
        <v>2</v>
      </c>
    </row>
    <row r="17">
      <c r="A17" s="8">
        <v>13.0</v>
      </c>
      <c r="B17" s="9" t="s">
        <v>81</v>
      </c>
      <c r="C17" s="8">
        <f>IF(Emparejar!$D$30=1,Emparejar!$D$46,"")</f>
        <v>1</v>
      </c>
      <c r="D17" s="12" t="str">
        <f t="array" ref="D17">IF(C17="","",INDEX(Parejas!$B$5:$B$16,C17))</f>
        <v>Cardozo / Cardozo</v>
      </c>
      <c r="E17" s="13">
        <v>9.0</v>
      </c>
      <c r="F17" s="13">
        <v>7.0</v>
      </c>
      <c r="G17" s="12" t="str">
        <f t="array" ref="G17">IF(H17="","",INDEX(Parejas!$B$5:$B$16,H17))</f>
        <v>Francisco / Marcos</v>
      </c>
      <c r="H17" s="8">
        <f>IF(Emparejar!$D$30=1,Emparejar!$E$46,"")</f>
        <v>5</v>
      </c>
      <c r="I17" s="11"/>
      <c r="J17" s="14" t="str">
        <f t="array" ref="J17">IF(K17="",IF(AND(E17&lt;&gt;"",F17&lt;&gt;"",E17=F17),"EMPATE: jugar OT",""),INDEX(Parejas!$B$5:$B$16,K17))</f>
        <v>Cardozo / Cardozo</v>
      </c>
      <c r="K17" s="15">
        <f t="shared" si="1"/>
        <v>1</v>
      </c>
      <c r="L17" s="15">
        <f t="array" ref="L17">IF(K17="","",INDEX(Calculo!$D$2:$D$13,H17))</f>
        <v>2</v>
      </c>
      <c r="M17" s="15">
        <f t="array" ref="M17">IF(K17="","",INDEX(Calculo!$D$2:$D$13,C17))</f>
        <v>3</v>
      </c>
    </row>
    <row r="18">
      <c r="A18" s="16">
        <v>14.0</v>
      </c>
      <c r="B18" s="17" t="s">
        <v>81</v>
      </c>
      <c r="C18" s="16">
        <f>IF(Emparejar!$D$30=1,Emparejar!$D$47,"")</f>
        <v>9</v>
      </c>
      <c r="D18" s="19" t="str">
        <f t="array" ref="D18">IF(C18="","",INDEX(Parejas!$B$5:$B$16,C18))</f>
        <v>Bautista / Luciano</v>
      </c>
      <c r="E18" s="20">
        <v>9.0</v>
      </c>
      <c r="F18" s="20">
        <v>5.0</v>
      </c>
      <c r="G18" s="19" t="str">
        <f t="array" ref="G18">IF(H18="","",INDEX(Parejas!$B$5:$B$16,H18))</f>
        <v>Diego / (a confirmar)</v>
      </c>
      <c r="H18" s="16">
        <f>IF(Emparejar!$D$30=1,Emparejar!$E$47,"")</f>
        <v>3</v>
      </c>
      <c r="I18" s="18"/>
      <c r="J18" s="21" t="str">
        <f t="array" ref="J18">IF(K18="",IF(AND(E18&lt;&gt;"",F18&lt;&gt;"",E18=F18),"EMPATE: jugar OT",""),INDEX(Parejas!$B$5:$B$16,K18))</f>
        <v>Bautista / Luciano</v>
      </c>
      <c r="K18" s="22">
        <f t="shared" si="1"/>
        <v>9</v>
      </c>
      <c r="L18" s="22">
        <f t="array" ref="L18">IF(K18="","",INDEX(Calculo!$D$2:$D$13,H18))</f>
        <v>1</v>
      </c>
      <c r="M18" s="22">
        <f t="array" ref="M18">IF(K18="","",INDEX(Calculo!$D$2:$D$13,C18))</f>
        <v>3</v>
      </c>
    </row>
    <row r="19">
      <c r="A19" s="16">
        <v>15.0</v>
      </c>
      <c r="B19" s="17" t="s">
        <v>81</v>
      </c>
      <c r="C19" s="16">
        <f>IF(Emparejar!$D$30=1,Emparejar!$D$48,"")</f>
        <v>2</v>
      </c>
      <c r="D19" s="19" t="str">
        <f t="array" ref="D19">IF(C19="","",INDEX(Parejas!$B$5:$B$16,C19))</f>
        <v>Blas / Agustin</v>
      </c>
      <c r="E19" s="20">
        <v>9.0</v>
      </c>
      <c r="F19" s="20">
        <v>2.0</v>
      </c>
      <c r="G19" s="19" t="str">
        <f t="array" ref="G19">IF(H19="","",INDEX(Parejas!$B$5:$B$16,H19))</f>
        <v>Simon / Joaquin</v>
      </c>
      <c r="H19" s="16">
        <f>IF(Emparejar!$D$30=1,Emparejar!$E$48,"")</f>
        <v>7</v>
      </c>
      <c r="I19" s="18"/>
      <c r="J19" s="21" t="str">
        <f t="array" ref="J19">IF(K19="",IF(AND(E19&lt;&gt;"",F19&lt;&gt;"",E19=F19),"EMPATE: jugar OT",""),INDEX(Parejas!$B$5:$B$16,K19))</f>
        <v>Blas / Agustin</v>
      </c>
      <c r="K19" s="22">
        <f t="shared" si="1"/>
        <v>2</v>
      </c>
      <c r="L19" s="22">
        <f t="array" ref="L19">IF(K19="","",INDEX(Calculo!$D$2:$D$13,H19))</f>
        <v>1</v>
      </c>
      <c r="M19" s="22">
        <f t="array" ref="M19">IF(K19="","",INDEX(Calculo!$D$2:$D$13,C19))</f>
        <v>2</v>
      </c>
    </row>
    <row r="20">
      <c r="A20" s="16">
        <v>16.0</v>
      </c>
      <c r="B20" s="17" t="s">
        <v>81</v>
      </c>
      <c r="C20" s="16">
        <f>IF(Emparejar!$D$30=1,Emparejar!$D$49,"")</f>
        <v>11</v>
      </c>
      <c r="D20" s="19" t="str">
        <f t="array" ref="D20">IF(C20="","",INDEX(Parejas!$B$5:$B$16,C20))</f>
        <v>Agustin / Rodrigo</v>
      </c>
      <c r="E20" s="20">
        <v>9.0</v>
      </c>
      <c r="F20" s="20">
        <v>7.0</v>
      </c>
      <c r="G20" s="19" t="str">
        <f t="array" ref="G20">IF(H20="","",INDEX(Parejas!$B$5:$B$16,H20))</f>
        <v>Luciano / Gonzalo</v>
      </c>
      <c r="H20" s="16">
        <f>IF(Emparejar!$D$30=1,Emparejar!$E$49,"")</f>
        <v>4</v>
      </c>
      <c r="I20" s="18"/>
      <c r="J20" s="21" t="str">
        <f t="array" ref="J20">IF(K20="",IF(AND(E20&lt;&gt;"",F20&lt;&gt;"",E20=F20),"EMPATE: jugar OT",""),INDEX(Parejas!$B$5:$B$16,K20))</f>
        <v>Agustin / Rodrigo</v>
      </c>
      <c r="K20" s="22">
        <f t="shared" si="1"/>
        <v>11</v>
      </c>
      <c r="L20" s="22">
        <f t="array" ref="L20">IF(K20="","",INDEX(Calculo!$D$2:$D$13,H20))</f>
        <v>1</v>
      </c>
      <c r="M20" s="22">
        <f t="array" ref="M20">IF(K20="","",INDEX(Calculo!$D$2:$D$13,C20))</f>
        <v>2</v>
      </c>
    </row>
    <row r="21" ht="15.75" customHeight="1">
      <c r="A21" s="16">
        <v>17.0</v>
      </c>
      <c r="B21" s="17" t="s">
        <v>81</v>
      </c>
      <c r="C21" s="16">
        <f>IF(Emparejar!$D$30=1,Emparejar!$D$50,"")</f>
        <v>12</v>
      </c>
      <c r="D21" s="19" t="str">
        <f t="array" ref="D21">IF(C21="","",INDEX(Parejas!$B$5:$B$16,C21))</f>
        <v>Enzo / Gonza</v>
      </c>
      <c r="E21" s="20">
        <v>9.0</v>
      </c>
      <c r="F21" s="20">
        <v>5.0</v>
      </c>
      <c r="G21" s="19" t="str">
        <f t="array" ref="G21">IF(H21="","",INDEX(Parejas!$B$5:$B$16,H21))</f>
        <v>Lucas / Martin</v>
      </c>
      <c r="H21" s="16">
        <f>IF(Emparejar!$D$30=1,Emparejar!$E$50,"")</f>
        <v>10</v>
      </c>
      <c r="I21" s="18"/>
      <c r="J21" s="21" t="str">
        <f t="array" ref="J21">IF(K21="",IF(AND(E21&lt;&gt;"",F21&lt;&gt;"",E21=F21),"EMPATE: jugar OT",""),INDEX(Parejas!$B$5:$B$16,K21))</f>
        <v>Enzo / Gonza</v>
      </c>
      <c r="K21" s="22">
        <f t="shared" si="1"/>
        <v>12</v>
      </c>
      <c r="L21" s="22">
        <f t="array" ref="L21">IF(K21="","",INDEX(Calculo!$D$2:$D$13,H21))</f>
        <v>0</v>
      </c>
      <c r="M21" s="22">
        <f t="array" ref="M21">IF(K21="","",INDEX(Calculo!$D$2:$D$13,C21))</f>
        <v>2</v>
      </c>
    </row>
    <row r="22" ht="15.75" customHeight="1">
      <c r="A22" s="16">
        <v>18.0</v>
      </c>
      <c r="B22" s="17" t="s">
        <v>81</v>
      </c>
      <c r="C22" s="16">
        <f>IF(Emparejar!$D$30=1,Emparejar!$D$51,"")</f>
        <v>8</v>
      </c>
      <c r="D22" s="19" t="str">
        <f t="array" ref="D22">IF(C22="","",INDEX(Parejas!$B$5:$B$16,C22))</f>
        <v>Rodrigo / Nazareno</v>
      </c>
      <c r="E22" s="20">
        <v>9.0</v>
      </c>
      <c r="F22" s="20">
        <v>3.0</v>
      </c>
      <c r="G22" s="19" t="str">
        <f t="array" ref="G22">IF(H22="","",INDEX(Parejas!$B$5:$B$16,H22))</f>
        <v>Luciano / Lautaro</v>
      </c>
      <c r="H22" s="16">
        <f>IF(Emparejar!$D$30=1,Emparejar!$E$51,"")</f>
        <v>6</v>
      </c>
      <c r="I22" s="18"/>
      <c r="J22" s="21" t="str">
        <f t="array" ref="J22">IF(K22="",IF(AND(E22&lt;&gt;"",F22&lt;&gt;"",E22=F22),"EMPATE: jugar OT",""),INDEX(Parejas!$B$5:$B$16,K22))</f>
        <v>Rodrigo / Nazareno</v>
      </c>
      <c r="K22" s="22">
        <f t="shared" si="1"/>
        <v>8</v>
      </c>
      <c r="L22" s="22">
        <f t="array" ref="L22">IF(K22="","",INDEX(Calculo!$D$2:$D$13,H22))</f>
        <v>0</v>
      </c>
      <c r="M22" s="22">
        <f t="array" ref="M22">IF(K22="","",INDEX(Calculo!$D$2:$D$13,C22))</f>
        <v>1</v>
      </c>
    </row>
    <row r="23" ht="15.75" customHeight="1"/>
    <row r="24" ht="15.75" customHeight="1">
      <c r="A24" s="2" t="s">
        <v>86</v>
      </c>
    </row>
    <row r="25" ht="15.75" customHeight="1">
      <c r="A25" s="2" t="s">
        <v>87</v>
      </c>
    </row>
    <row r="26" ht="15.75" customHeight="1">
      <c r="A26" s="2" t="s">
        <v>88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howInputMessage="1" showErrorMessage="1" prompt="ID de pareja entre 1 y 12" sqref="C5:C22 H5:H22">
      <formula1>1.0</formula1>
      <formula2>12.0</formula2>
    </dataValidation>
    <dataValidation type="decimal" allowBlank="1" sqref="E5:F22">
      <formula1>0.0</formula1>
      <formula2>30.0</formula2>
    </dataValidation>
    <dataValidation type="list" allowBlank="1" sqref="I5:I22">
      <formula1>Mapas!$A$5:$A$14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8" width="6.0"/>
    <col customWidth="1" min="9" max="9" width="10.0"/>
    <col customWidth="1" min="10" max="10" width="18.0"/>
    <col customWidth="1" min="11" max="26" width="8.71"/>
  </cols>
  <sheetData>
    <row r="1">
      <c r="A1" s="3" t="s">
        <v>2</v>
      </c>
      <c r="B1" s="3" t="s">
        <v>6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20</v>
      </c>
      <c r="H1" s="3" t="s">
        <v>22</v>
      </c>
      <c r="I1" s="3" t="s">
        <v>26</v>
      </c>
      <c r="J1" s="3" t="s">
        <v>28</v>
      </c>
    </row>
    <row r="2">
      <c r="A2" s="7">
        <v>1.0</v>
      </c>
      <c r="B2" s="7" t="str">
        <f t="array" ref="B2">INDEX(Parejas!$B$5:$B$16,A2)</f>
        <v>Cardozo / Cardozo</v>
      </c>
      <c r="C2" s="7">
        <f>COUNTIFS(Suizo!$C$5:$C$22,A2,Suizo!$K$5:$K$22,"&gt;0")+COUNTIFS(Suizo!$H$5:$H$22,A2,Suizo!$K$5:$K$22,"&gt;0")</f>
        <v>3</v>
      </c>
      <c r="D2" s="7">
        <f>COUNTIF(Suizo!$K$5:$K$22,A2)</f>
        <v>3</v>
      </c>
      <c r="E2" s="7">
        <f t="shared" ref="E2:E13" si="1">C2-D2</f>
        <v>0</v>
      </c>
      <c r="F2" s="7">
        <f>SUMIFS(Suizo!$E$5:$E$22,Suizo!$C$5:$C$22,A2,Suizo!$K$5:$K$22,"&gt;0")+SUMIFS(Suizo!$F$5:$F$22,Suizo!$H$5:$H$22,A2,Suizo!$K$5:$K$22,"&gt;0")</f>
        <v>27</v>
      </c>
      <c r="G2" s="7">
        <f>SUMIFS(Suizo!$F$5:$F$22,Suizo!$C$5:$C$22,A2,Suizo!$K$5:$K$22,"&gt;0")+SUMIFS(Suizo!$E$5:$E$22,Suizo!$H$5:$H$22,A2,Suizo!$K$5:$K$22,"&gt;0")</f>
        <v>12</v>
      </c>
      <c r="H2" s="7">
        <f t="shared" ref="H2:H13" si="2">F2-G2</f>
        <v>15</v>
      </c>
      <c r="I2" s="7">
        <f>SUMIFS(Suizo!$L$5:$L$22,Suizo!$C$5:$C$22,A2)+SUMIFS(Suizo!$M$5:$M$22,Suizo!$H$5:$H$22,A2)</f>
        <v>4</v>
      </c>
      <c r="J2" s="7">
        <f t="shared" ref="J2:J13" si="3">D2*1000000000+(H2+500)*1000000+I2*10000+F2*10-A2/100</f>
        <v>3515040270</v>
      </c>
    </row>
    <row r="3">
      <c r="A3" s="7">
        <v>2.0</v>
      </c>
      <c r="B3" s="7" t="str">
        <f t="array" ref="B3">INDEX(Parejas!$B$5:$B$16,A3)</f>
        <v>Blas / Agustin</v>
      </c>
      <c r="C3" s="7">
        <f>COUNTIFS(Suizo!$C$5:$C$22,A3,Suizo!$K$5:$K$22,"&gt;0")+COUNTIFS(Suizo!$H$5:$H$22,A3,Suizo!$K$5:$K$22,"&gt;0")</f>
        <v>3</v>
      </c>
      <c r="D3" s="7">
        <f>COUNTIF(Suizo!$K$5:$K$22,A3)</f>
        <v>2</v>
      </c>
      <c r="E3" s="7">
        <f t="shared" si="1"/>
        <v>1</v>
      </c>
      <c r="F3" s="7">
        <f>SUMIFS(Suizo!$E$5:$E$22,Suizo!$C$5:$C$22,A3,Suizo!$K$5:$K$22,"&gt;0")+SUMIFS(Suizo!$F$5:$F$22,Suizo!$H$5:$H$22,A3,Suizo!$K$5:$K$22,"&gt;0")</f>
        <v>21</v>
      </c>
      <c r="G3" s="7">
        <f>SUMIFS(Suizo!$F$5:$F$22,Suizo!$C$5:$C$22,A3,Suizo!$K$5:$K$22,"&gt;0")+SUMIFS(Suizo!$E$5:$E$22,Suizo!$H$5:$H$22,A3,Suizo!$K$5:$K$22,"&gt;0")</f>
        <v>12</v>
      </c>
      <c r="H3" s="7">
        <f t="shared" si="2"/>
        <v>9</v>
      </c>
      <c r="I3" s="7">
        <f>SUMIFS(Suizo!$L$5:$L$22,Suizo!$C$5:$C$22,A3)+SUMIFS(Suizo!$M$5:$M$22,Suizo!$H$5:$H$22,A3)</f>
        <v>3</v>
      </c>
      <c r="J3" s="7">
        <f t="shared" si="3"/>
        <v>2509030210</v>
      </c>
    </row>
    <row r="4">
      <c r="A4" s="7">
        <v>3.0</v>
      </c>
      <c r="B4" s="7" t="str">
        <f t="array" ref="B4">INDEX(Parejas!$B$5:$B$16,A4)</f>
        <v>Diego / (a confirmar)</v>
      </c>
      <c r="C4" s="7">
        <f>COUNTIFS(Suizo!$C$5:$C$22,A4,Suizo!$K$5:$K$22,"&gt;0")+COUNTIFS(Suizo!$H$5:$H$22,A4,Suizo!$K$5:$K$22,"&gt;0")</f>
        <v>3</v>
      </c>
      <c r="D4" s="7">
        <f>COUNTIF(Suizo!$K$5:$K$22,A4)</f>
        <v>1</v>
      </c>
      <c r="E4" s="7">
        <f t="shared" si="1"/>
        <v>2</v>
      </c>
      <c r="F4" s="7">
        <f>SUMIFS(Suizo!$E$5:$E$22,Suizo!$C$5:$C$22,A4,Suizo!$K$5:$K$22,"&gt;0")+SUMIFS(Suizo!$F$5:$F$22,Suizo!$H$5:$H$22,A4,Suizo!$K$5:$K$22,"&gt;0")</f>
        <v>21</v>
      </c>
      <c r="G4" s="7">
        <f>SUMIFS(Suizo!$F$5:$F$22,Suizo!$C$5:$C$22,A4,Suizo!$K$5:$K$22,"&gt;0")+SUMIFS(Suizo!$E$5:$E$22,Suizo!$H$5:$H$22,A4,Suizo!$K$5:$K$22,"&gt;0")</f>
        <v>20</v>
      </c>
      <c r="H4" s="7">
        <f t="shared" si="2"/>
        <v>1</v>
      </c>
      <c r="I4" s="7">
        <f>SUMIFS(Suizo!$L$5:$L$22,Suizo!$C$5:$C$22,A4)+SUMIFS(Suizo!$M$5:$M$22,Suizo!$H$5:$H$22,A4)</f>
        <v>5</v>
      </c>
      <c r="J4" s="7">
        <f t="shared" si="3"/>
        <v>1501050210</v>
      </c>
    </row>
    <row r="5">
      <c r="A5" s="7">
        <v>4.0</v>
      </c>
      <c r="B5" s="7" t="str">
        <f t="array" ref="B5">INDEX(Parejas!$B$5:$B$16,A5)</f>
        <v>Luciano / Gonzalo</v>
      </c>
      <c r="C5" s="7">
        <f>COUNTIFS(Suizo!$C$5:$C$22,A5,Suizo!$K$5:$K$22,"&gt;0")+COUNTIFS(Suizo!$H$5:$H$22,A5,Suizo!$K$5:$K$22,"&gt;0")</f>
        <v>3</v>
      </c>
      <c r="D5" s="7">
        <f>COUNTIF(Suizo!$K$5:$K$22,A5)</f>
        <v>1</v>
      </c>
      <c r="E5" s="7">
        <f t="shared" si="1"/>
        <v>2</v>
      </c>
      <c r="F5" s="7">
        <f>SUMIFS(Suizo!$E$5:$E$22,Suizo!$C$5:$C$22,A5,Suizo!$K$5:$K$22,"&gt;0")+SUMIFS(Suizo!$F$5:$F$22,Suizo!$H$5:$H$22,A5,Suizo!$K$5:$K$22,"&gt;0")</f>
        <v>17</v>
      </c>
      <c r="G5" s="7">
        <f>SUMIFS(Suizo!$F$5:$F$22,Suizo!$C$5:$C$22,A5,Suizo!$K$5:$K$22,"&gt;0")+SUMIFS(Suizo!$E$5:$E$22,Suizo!$H$5:$H$22,A5,Suizo!$K$5:$K$22,"&gt;0")</f>
        <v>25</v>
      </c>
      <c r="H5" s="7">
        <f t="shared" si="2"/>
        <v>-8</v>
      </c>
      <c r="I5" s="7">
        <f>SUMIFS(Suizo!$L$5:$L$22,Suizo!$C$5:$C$22,A5)+SUMIFS(Suizo!$M$5:$M$22,Suizo!$H$5:$H$22,A5)</f>
        <v>6</v>
      </c>
      <c r="J5" s="7">
        <f t="shared" si="3"/>
        <v>1492060170</v>
      </c>
    </row>
    <row r="6">
      <c r="A6" s="7">
        <v>5.0</v>
      </c>
      <c r="B6" s="7" t="str">
        <f t="array" ref="B6">INDEX(Parejas!$B$5:$B$16,A6)</f>
        <v>Francisco / Marcos</v>
      </c>
      <c r="C6" s="7">
        <f>COUNTIFS(Suizo!$C$5:$C$22,A6,Suizo!$K$5:$K$22,"&gt;0")+COUNTIFS(Suizo!$H$5:$H$22,A6,Suizo!$K$5:$K$22,"&gt;0")</f>
        <v>3</v>
      </c>
      <c r="D6" s="7">
        <f>COUNTIF(Suizo!$K$5:$K$22,A6)</f>
        <v>2</v>
      </c>
      <c r="E6" s="7">
        <f t="shared" si="1"/>
        <v>1</v>
      </c>
      <c r="F6" s="7">
        <f>SUMIFS(Suizo!$E$5:$E$22,Suizo!$C$5:$C$22,A6,Suizo!$K$5:$K$22,"&gt;0")+SUMIFS(Suizo!$F$5:$F$22,Suizo!$H$5:$H$22,A6,Suizo!$K$5:$K$22,"&gt;0")</f>
        <v>25</v>
      </c>
      <c r="G6" s="7">
        <f>SUMIFS(Suizo!$F$5:$F$22,Suizo!$C$5:$C$22,A6,Suizo!$K$5:$K$22,"&gt;0")+SUMIFS(Suizo!$E$5:$E$22,Suizo!$H$5:$H$22,A6,Suizo!$K$5:$K$22,"&gt;0")</f>
        <v>15</v>
      </c>
      <c r="H6" s="7">
        <f t="shared" si="2"/>
        <v>10</v>
      </c>
      <c r="I6" s="7">
        <f>SUMIFS(Suizo!$L$5:$L$22,Suizo!$C$5:$C$22,A6)+SUMIFS(Suizo!$M$5:$M$22,Suizo!$H$5:$H$22,A6)</f>
        <v>7</v>
      </c>
      <c r="J6" s="7">
        <f t="shared" si="3"/>
        <v>2510070250</v>
      </c>
    </row>
    <row r="7">
      <c r="A7" s="7">
        <v>6.0</v>
      </c>
      <c r="B7" s="7" t="str">
        <f t="array" ref="B7">INDEX(Parejas!$B$5:$B$16,A7)</f>
        <v>Luciano / Lautaro</v>
      </c>
      <c r="C7" s="7">
        <f>COUNTIFS(Suizo!$C$5:$C$22,A7,Suizo!$K$5:$K$22,"&gt;0")+COUNTIFS(Suizo!$H$5:$H$22,A7,Suizo!$K$5:$K$22,"&gt;0")</f>
        <v>3</v>
      </c>
      <c r="D7" s="7">
        <f>COUNTIF(Suizo!$K$5:$K$22,A7)</f>
        <v>0</v>
      </c>
      <c r="E7" s="7">
        <f t="shared" si="1"/>
        <v>3</v>
      </c>
      <c r="F7" s="7">
        <f>SUMIFS(Suizo!$E$5:$E$22,Suizo!$C$5:$C$22,A7,Suizo!$K$5:$K$22,"&gt;0")+SUMIFS(Suizo!$F$5:$F$22,Suizo!$H$5:$H$22,A7,Suizo!$K$5:$K$22,"&gt;0")</f>
        <v>11</v>
      </c>
      <c r="G7" s="7">
        <f>SUMIFS(Suizo!$F$5:$F$22,Suizo!$C$5:$C$22,A7,Suizo!$K$5:$K$22,"&gt;0")+SUMIFS(Suizo!$E$5:$E$22,Suizo!$H$5:$H$22,A7,Suizo!$K$5:$K$22,"&gt;0")</f>
        <v>27</v>
      </c>
      <c r="H7" s="7">
        <f t="shared" si="2"/>
        <v>-16</v>
      </c>
      <c r="I7" s="7">
        <f>SUMIFS(Suizo!$L$5:$L$22,Suizo!$C$5:$C$22,A7)+SUMIFS(Suizo!$M$5:$M$22,Suizo!$H$5:$H$22,A7)</f>
        <v>5</v>
      </c>
      <c r="J7" s="7">
        <f t="shared" si="3"/>
        <v>484050109.9</v>
      </c>
    </row>
    <row r="8">
      <c r="A8" s="7">
        <v>7.0</v>
      </c>
      <c r="B8" s="7" t="str">
        <f t="array" ref="B8">INDEX(Parejas!$B$5:$B$16,A8)</f>
        <v>Simon / Joaquin</v>
      </c>
      <c r="C8" s="7">
        <f>COUNTIFS(Suizo!$C$5:$C$22,A8,Suizo!$K$5:$K$22,"&gt;0")+COUNTIFS(Suizo!$H$5:$H$22,A8,Suizo!$K$5:$K$22,"&gt;0")</f>
        <v>3</v>
      </c>
      <c r="D8" s="7">
        <f>COUNTIF(Suizo!$K$5:$K$22,A8)</f>
        <v>1</v>
      </c>
      <c r="E8" s="7">
        <f t="shared" si="1"/>
        <v>2</v>
      </c>
      <c r="F8" s="7">
        <f>SUMIFS(Suizo!$E$5:$E$22,Suizo!$C$5:$C$22,A8,Suizo!$K$5:$K$22,"&gt;0")+SUMIFS(Suizo!$F$5:$F$22,Suizo!$H$5:$H$22,A8,Suizo!$K$5:$K$22,"&gt;0")</f>
        <v>15</v>
      </c>
      <c r="G8" s="7">
        <f>SUMIFS(Suizo!$F$5:$F$22,Suizo!$C$5:$C$22,A8,Suizo!$K$5:$K$22,"&gt;0")+SUMIFS(Suizo!$E$5:$E$22,Suizo!$H$5:$H$22,A8,Suizo!$K$5:$K$22,"&gt;0")</f>
        <v>23</v>
      </c>
      <c r="H8" s="7">
        <f t="shared" si="2"/>
        <v>-8</v>
      </c>
      <c r="I8" s="7">
        <f>SUMIFS(Suizo!$L$5:$L$22,Suizo!$C$5:$C$22,A8)+SUMIFS(Suizo!$M$5:$M$22,Suizo!$H$5:$H$22,A8)</f>
        <v>5</v>
      </c>
      <c r="J8" s="7">
        <f t="shared" si="3"/>
        <v>1492050150</v>
      </c>
    </row>
    <row r="9">
      <c r="A9" s="7">
        <v>8.0</v>
      </c>
      <c r="B9" s="7" t="str">
        <f t="array" ref="B9">INDEX(Parejas!$B$5:$B$16,A9)</f>
        <v>Rodrigo / Nazareno</v>
      </c>
      <c r="C9" s="7">
        <f>COUNTIFS(Suizo!$C$5:$C$22,A9,Suizo!$K$5:$K$22,"&gt;0")+COUNTIFS(Suizo!$H$5:$H$22,A9,Suizo!$K$5:$K$22,"&gt;0")</f>
        <v>3</v>
      </c>
      <c r="D9" s="7">
        <f>COUNTIF(Suizo!$K$5:$K$22,A9)</f>
        <v>1</v>
      </c>
      <c r="E9" s="7">
        <f t="shared" si="1"/>
        <v>2</v>
      </c>
      <c r="F9" s="7">
        <f>SUMIFS(Suizo!$E$5:$E$22,Suizo!$C$5:$C$22,A9,Suizo!$K$5:$K$22,"&gt;0")+SUMIFS(Suizo!$F$5:$F$22,Suizo!$H$5:$H$22,A9,Suizo!$K$5:$K$22,"&gt;0")</f>
        <v>18</v>
      </c>
      <c r="G9" s="7">
        <f>SUMIFS(Suizo!$F$5:$F$22,Suizo!$C$5:$C$22,A9,Suizo!$K$5:$K$22,"&gt;0")+SUMIFS(Suizo!$E$5:$E$22,Suizo!$H$5:$H$22,A9,Suizo!$K$5:$K$22,"&gt;0")</f>
        <v>21</v>
      </c>
      <c r="H9" s="7">
        <f t="shared" si="2"/>
        <v>-3</v>
      </c>
      <c r="I9" s="7">
        <f>SUMIFS(Suizo!$L$5:$L$22,Suizo!$C$5:$C$22,A9)+SUMIFS(Suizo!$M$5:$M$22,Suizo!$H$5:$H$22,A9)</f>
        <v>3</v>
      </c>
      <c r="J9" s="7">
        <f t="shared" si="3"/>
        <v>1497030180</v>
      </c>
    </row>
    <row r="10">
      <c r="A10" s="7">
        <v>9.0</v>
      </c>
      <c r="B10" s="7" t="str">
        <f t="array" ref="B10">INDEX(Parejas!$B$5:$B$16,A10)</f>
        <v>Bautista / Luciano</v>
      </c>
      <c r="C10" s="7">
        <f>COUNTIFS(Suizo!$C$5:$C$22,A10,Suizo!$K$5:$K$22,"&gt;0")+COUNTIFS(Suizo!$H$5:$H$22,A10,Suizo!$K$5:$K$22,"&gt;0")</f>
        <v>3</v>
      </c>
      <c r="D10" s="7">
        <f>COUNTIF(Suizo!$K$5:$K$22,A10)</f>
        <v>3</v>
      </c>
      <c r="E10" s="7">
        <f t="shared" si="1"/>
        <v>0</v>
      </c>
      <c r="F10" s="7">
        <f>SUMIFS(Suizo!$E$5:$E$22,Suizo!$C$5:$C$22,A10,Suizo!$K$5:$K$22,"&gt;0")+SUMIFS(Suizo!$F$5:$F$22,Suizo!$H$5:$H$22,A10,Suizo!$K$5:$K$22,"&gt;0")</f>
        <v>27</v>
      </c>
      <c r="G10" s="7">
        <f>SUMIFS(Suizo!$F$5:$F$22,Suizo!$C$5:$C$22,A10,Suizo!$K$5:$K$22,"&gt;0")+SUMIFS(Suizo!$E$5:$E$22,Suizo!$H$5:$H$22,A10,Suizo!$K$5:$K$22,"&gt;0")</f>
        <v>12</v>
      </c>
      <c r="H10" s="7">
        <f t="shared" si="2"/>
        <v>15</v>
      </c>
      <c r="I10" s="7">
        <f>SUMIFS(Suizo!$L$5:$L$22,Suizo!$C$5:$C$22,A10)+SUMIFS(Suizo!$M$5:$M$22,Suizo!$H$5:$H$22,A10)</f>
        <v>3</v>
      </c>
      <c r="J10" s="7">
        <f t="shared" si="3"/>
        <v>3515030270</v>
      </c>
    </row>
    <row r="11">
      <c r="A11" s="7">
        <v>10.0</v>
      </c>
      <c r="B11" s="7" t="str">
        <f t="array" ref="B11">INDEX(Parejas!$B$5:$B$16,A11)</f>
        <v>Lucas / Martin</v>
      </c>
      <c r="C11" s="7">
        <f>COUNTIFS(Suizo!$C$5:$C$22,A11,Suizo!$K$5:$K$22,"&gt;0")+COUNTIFS(Suizo!$H$5:$H$22,A11,Suizo!$K$5:$K$22,"&gt;0")</f>
        <v>3</v>
      </c>
      <c r="D11" s="7">
        <f>COUNTIF(Suizo!$K$5:$K$22,A11)</f>
        <v>0</v>
      </c>
      <c r="E11" s="7">
        <f t="shared" si="1"/>
        <v>3</v>
      </c>
      <c r="F11" s="7">
        <f>SUMIFS(Suizo!$E$5:$E$22,Suizo!$C$5:$C$22,A11,Suizo!$K$5:$K$22,"&gt;0")+SUMIFS(Suizo!$F$5:$F$22,Suizo!$H$5:$H$22,A11,Suizo!$K$5:$K$22,"&gt;0")</f>
        <v>17</v>
      </c>
      <c r="G11" s="7">
        <f>SUMIFS(Suizo!$F$5:$F$22,Suizo!$C$5:$C$22,A11,Suizo!$K$5:$K$22,"&gt;0")+SUMIFS(Suizo!$E$5:$E$22,Suizo!$H$5:$H$22,A11,Suizo!$K$5:$K$22,"&gt;0")</f>
        <v>27</v>
      </c>
      <c r="H11" s="7">
        <f t="shared" si="2"/>
        <v>-10</v>
      </c>
      <c r="I11" s="7">
        <f>SUMIFS(Suizo!$L$5:$L$22,Suizo!$C$5:$C$22,A11)+SUMIFS(Suizo!$M$5:$M$22,Suizo!$H$5:$H$22,A11)</f>
        <v>6</v>
      </c>
      <c r="J11" s="7">
        <f t="shared" si="3"/>
        <v>490060169.9</v>
      </c>
    </row>
    <row r="12">
      <c r="A12" s="7">
        <v>11.0</v>
      </c>
      <c r="B12" s="7" t="str">
        <f t="array" ref="B12">INDEX(Parejas!$B$5:$B$16,A12)</f>
        <v>Agustin / Rodrigo</v>
      </c>
      <c r="C12" s="7">
        <f>COUNTIFS(Suizo!$C$5:$C$22,A12,Suizo!$K$5:$K$22,"&gt;0")+COUNTIFS(Suizo!$H$5:$H$22,A12,Suizo!$K$5:$K$22,"&gt;0")</f>
        <v>3</v>
      </c>
      <c r="D12" s="7">
        <f>COUNTIF(Suizo!$K$5:$K$22,A12)</f>
        <v>2</v>
      </c>
      <c r="E12" s="7">
        <f t="shared" si="1"/>
        <v>1</v>
      </c>
      <c r="F12" s="7">
        <f>SUMIFS(Suizo!$E$5:$E$22,Suizo!$C$5:$C$22,A12,Suizo!$K$5:$K$22,"&gt;0")+SUMIFS(Suizo!$F$5:$F$22,Suizo!$H$5:$H$22,A12,Suizo!$K$5:$K$22,"&gt;0")</f>
        <v>21</v>
      </c>
      <c r="G12" s="7">
        <f>SUMIFS(Suizo!$F$5:$F$22,Suizo!$C$5:$C$22,A12,Suizo!$K$5:$K$22,"&gt;0")+SUMIFS(Suizo!$E$5:$E$22,Suizo!$H$5:$H$22,A12,Suizo!$K$5:$K$22,"&gt;0")</f>
        <v>23</v>
      </c>
      <c r="H12" s="7">
        <f t="shared" si="2"/>
        <v>-2</v>
      </c>
      <c r="I12" s="7">
        <f>SUMIFS(Suizo!$L$5:$L$22,Suizo!$C$5:$C$22,A12)+SUMIFS(Suizo!$M$5:$M$22,Suizo!$H$5:$H$22,A12)</f>
        <v>3</v>
      </c>
      <c r="J12" s="7">
        <f t="shared" si="3"/>
        <v>2498030210</v>
      </c>
    </row>
    <row r="13">
      <c r="A13" s="7">
        <v>12.0</v>
      </c>
      <c r="B13" s="7" t="str">
        <f t="array" ref="B13">INDEX(Parejas!$B$5:$B$16,A13)</f>
        <v>Enzo / Gonza</v>
      </c>
      <c r="C13" s="7">
        <f>COUNTIFS(Suizo!$C$5:$C$22,A13,Suizo!$K$5:$K$22,"&gt;0")+COUNTIFS(Suizo!$H$5:$H$22,A13,Suizo!$K$5:$K$22,"&gt;0")</f>
        <v>3</v>
      </c>
      <c r="D13" s="7">
        <f>COUNTIF(Suizo!$K$5:$K$22,A13)</f>
        <v>2</v>
      </c>
      <c r="E13" s="7">
        <f t="shared" si="1"/>
        <v>1</v>
      </c>
      <c r="F13" s="7">
        <f>SUMIFS(Suizo!$E$5:$E$22,Suizo!$C$5:$C$22,A13,Suizo!$K$5:$K$22,"&gt;0")+SUMIFS(Suizo!$F$5:$F$22,Suizo!$H$5:$H$22,A13,Suizo!$K$5:$K$22,"&gt;0")</f>
        <v>18</v>
      </c>
      <c r="G13" s="7">
        <f>SUMIFS(Suizo!$F$5:$F$22,Suizo!$C$5:$C$22,A13,Suizo!$K$5:$K$22,"&gt;0")+SUMIFS(Suizo!$E$5:$E$22,Suizo!$H$5:$H$22,A13,Suizo!$K$5:$K$22,"&gt;0")</f>
        <v>21</v>
      </c>
      <c r="H13" s="7">
        <f t="shared" si="2"/>
        <v>-3</v>
      </c>
      <c r="I13" s="7">
        <f>SUMIFS(Suizo!$L$5:$L$22,Suizo!$C$5:$C$22,A13)+SUMIFS(Suizo!$M$5:$M$22,Suizo!$H$5:$H$22,A13)</f>
        <v>4</v>
      </c>
      <c r="J13" s="7">
        <f t="shared" si="3"/>
        <v>2497040180</v>
      </c>
    </row>
    <row r="15">
      <c r="A15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" width="8.71"/>
  </cols>
  <sheetData>
    <row r="1">
      <c r="A1" s="10" t="s">
        <v>38</v>
      </c>
      <c r="C1" s="10" t="s">
        <v>59</v>
      </c>
      <c r="D1" s="10">
        <f>IF(COUNTIF(Suizo!$K$5:$K$10,"&gt;0")=6,1,0)</f>
        <v>1</v>
      </c>
    </row>
    <row r="2">
      <c r="A2" s="10" t="s">
        <v>2</v>
      </c>
      <c r="B2" s="10" t="s">
        <v>12</v>
      </c>
      <c r="C2" s="10" t="s">
        <v>22</v>
      </c>
      <c r="D2" s="10" t="s">
        <v>16</v>
      </c>
      <c r="E2" s="10" t="s">
        <v>69</v>
      </c>
      <c r="F2" s="10" t="s">
        <v>70</v>
      </c>
      <c r="G2" s="10" t="s">
        <v>71</v>
      </c>
    </row>
    <row r="3">
      <c r="A3" s="10">
        <v>1.0</v>
      </c>
      <c r="B3" s="10">
        <f>COUNTIF(Suizo!$K$5:$K$10,A3)</f>
        <v>1</v>
      </c>
      <c r="C3" s="10">
        <f>(SUMIFS(Suizo!$E$5:$E$10,Suizo!$C$5:$C$10,A3,Suizo!$K$5:$K$10,"&gt;0")+SUMIFS(Suizo!$F$5:$F$10,Suizo!$H$5:$H$10,A3,Suizo!$K$5:$K$10,"&gt;0"))-(SUMIFS(Suizo!$F$5:$F$10,Suizo!$C$5:$C$10,A3,Suizo!$K$5:$K$10,"&gt;0")+SUMIFS(Suizo!$E$5:$E$10,Suizo!$H$5:$H$10,A3,Suizo!$K$5:$K$10,"&gt;0"))</f>
        <v>5</v>
      </c>
      <c r="D3" s="10">
        <f>(SUMIFS(Suizo!$E$5:$E$10,Suizo!$C$5:$C$10,A3,Suizo!$K$5:$K$10,"&gt;0")+SUMIFS(Suizo!$F$5:$F$10,Suizo!$H$5:$H$10,A3,Suizo!$K$5:$K$10,"&gt;0"))</f>
        <v>9</v>
      </c>
      <c r="E3" s="10">
        <f t="shared" ref="E3:E14" si="1">B3*100000000+(C3+500)*100000+D3*100-A3</f>
        <v>150500899</v>
      </c>
      <c r="F3" s="10">
        <v>1.0</v>
      </c>
      <c r="G3" s="10">
        <f t="shared" ref="G3:G14" si="2">INDEX($A$3:$A$14,MATCH(LARGE($E$3:$E$14,F3),$E$3:$E$14,0))</f>
        <v>2</v>
      </c>
    </row>
    <row r="4">
      <c r="A4" s="10">
        <v>2.0</v>
      </c>
      <c r="B4" s="10">
        <f>COUNTIF(Suizo!$K$5:$K$10,A4)</f>
        <v>1</v>
      </c>
      <c r="C4" s="10">
        <f>(SUMIFS(Suizo!$E$5:$E$10,Suizo!$C$5:$C$10,A4,Suizo!$K$5:$K$10,"&gt;0")+SUMIFS(Suizo!$F$5:$F$10,Suizo!$H$5:$H$10,A4,Suizo!$K$5:$K$10,"&gt;0"))-(SUMIFS(Suizo!$F$5:$F$10,Suizo!$C$5:$C$10,A4,Suizo!$K$5:$K$10,"&gt;0")+SUMIFS(Suizo!$E$5:$E$10,Suizo!$H$5:$H$10,A4,Suizo!$K$5:$K$10,"&gt;0"))</f>
        <v>8</v>
      </c>
      <c r="D4" s="10">
        <f>(SUMIFS(Suizo!$E$5:$E$10,Suizo!$C$5:$C$10,A4,Suizo!$K$5:$K$10,"&gt;0")+SUMIFS(Suizo!$F$5:$F$10,Suizo!$H$5:$H$10,A4,Suizo!$K$5:$K$10,"&gt;0"))</f>
        <v>9</v>
      </c>
      <c r="E4" s="10">
        <f t="shared" si="1"/>
        <v>150800898</v>
      </c>
      <c r="F4" s="10">
        <v>2.0</v>
      </c>
      <c r="G4" s="10">
        <f t="shared" si="2"/>
        <v>5</v>
      </c>
    </row>
    <row r="5">
      <c r="A5" s="10">
        <v>3.0</v>
      </c>
      <c r="B5" s="10">
        <f>COUNTIF(Suizo!$K$5:$K$10,A5)</f>
        <v>0</v>
      </c>
      <c r="C5" s="10">
        <f>(SUMIFS(Suizo!$E$5:$E$10,Suizo!$C$5:$C$10,A5,Suizo!$K$5:$K$10,"&gt;0")+SUMIFS(Suizo!$F$5:$F$10,Suizo!$H$5:$H$10,A5,Suizo!$K$5:$K$10,"&gt;0"))-(SUMIFS(Suizo!$F$5:$F$10,Suizo!$C$5:$C$10,A5,Suizo!$K$5:$K$10,"&gt;0")+SUMIFS(Suizo!$E$5:$E$10,Suizo!$H$5:$H$10,A5,Suizo!$K$5:$K$10,"&gt;0"))</f>
        <v>-2</v>
      </c>
      <c r="D5" s="10">
        <f>(SUMIFS(Suizo!$E$5:$E$10,Suizo!$C$5:$C$10,A5,Suizo!$K$5:$K$10,"&gt;0")+SUMIFS(Suizo!$F$5:$F$10,Suizo!$H$5:$H$10,A5,Suizo!$K$5:$K$10,"&gt;0"))</f>
        <v>7</v>
      </c>
      <c r="E5" s="10">
        <f t="shared" si="1"/>
        <v>49800697</v>
      </c>
      <c r="F5" s="10">
        <v>3.0</v>
      </c>
      <c r="G5" s="10">
        <f t="shared" si="2"/>
        <v>1</v>
      </c>
    </row>
    <row r="6">
      <c r="A6" s="10">
        <v>4.0</v>
      </c>
      <c r="B6" s="10">
        <f>COUNTIF(Suizo!$K$5:$K$10,A6)</f>
        <v>1</v>
      </c>
      <c r="C6" s="10">
        <f>(SUMIFS(Suizo!$E$5:$E$10,Suizo!$C$5:$C$10,A6,Suizo!$K$5:$K$10,"&gt;0")+SUMIFS(Suizo!$F$5:$F$10,Suizo!$H$5:$H$10,A6,Suizo!$K$5:$K$10,"&gt;0"))-(SUMIFS(Suizo!$F$5:$F$10,Suizo!$C$5:$C$10,A6,Suizo!$K$5:$K$10,"&gt;0")+SUMIFS(Suizo!$E$5:$E$10,Suizo!$H$5:$H$10,A6,Suizo!$K$5:$K$10,"&gt;0"))</f>
        <v>2</v>
      </c>
      <c r="D6" s="10">
        <f>(SUMIFS(Suizo!$E$5:$E$10,Suizo!$C$5:$C$10,A6,Suizo!$K$5:$K$10,"&gt;0")+SUMIFS(Suizo!$F$5:$F$10,Suizo!$H$5:$H$10,A6,Suizo!$K$5:$K$10,"&gt;0"))</f>
        <v>9</v>
      </c>
      <c r="E6" s="10">
        <f t="shared" si="1"/>
        <v>150200896</v>
      </c>
      <c r="F6" s="10">
        <v>4.0</v>
      </c>
      <c r="G6" s="10">
        <f t="shared" si="2"/>
        <v>4</v>
      </c>
    </row>
    <row r="7">
      <c r="A7" s="10">
        <v>5.0</v>
      </c>
      <c r="B7" s="10">
        <f>COUNTIF(Suizo!$K$5:$K$10,A7)</f>
        <v>1</v>
      </c>
      <c r="C7" s="10">
        <f>(SUMIFS(Suizo!$E$5:$E$10,Suizo!$C$5:$C$10,A7,Suizo!$K$5:$K$10,"&gt;0")+SUMIFS(Suizo!$F$5:$F$10,Suizo!$H$5:$H$10,A7,Suizo!$K$5:$K$10,"&gt;0"))-(SUMIFS(Suizo!$F$5:$F$10,Suizo!$C$5:$C$10,A7,Suizo!$K$5:$K$10,"&gt;0")+SUMIFS(Suizo!$E$5:$E$10,Suizo!$H$5:$H$10,A7,Suizo!$K$5:$K$10,"&gt;0"))</f>
        <v>6</v>
      </c>
      <c r="D7" s="10">
        <f>(SUMIFS(Suizo!$E$5:$E$10,Suizo!$C$5:$C$10,A7,Suizo!$K$5:$K$10,"&gt;0")+SUMIFS(Suizo!$F$5:$F$10,Suizo!$H$5:$H$10,A7,Suizo!$K$5:$K$10,"&gt;0"))</f>
        <v>9</v>
      </c>
      <c r="E7" s="10">
        <f t="shared" si="1"/>
        <v>150600895</v>
      </c>
      <c r="F7" s="10">
        <v>5.0</v>
      </c>
      <c r="G7" s="10">
        <f t="shared" si="2"/>
        <v>9</v>
      </c>
    </row>
    <row r="8">
      <c r="A8" s="10">
        <v>6.0</v>
      </c>
      <c r="B8" s="10">
        <f>COUNTIF(Suizo!$K$5:$K$10,A8)</f>
        <v>0</v>
      </c>
      <c r="C8" s="10">
        <f>(SUMIFS(Suizo!$E$5:$E$10,Suizo!$C$5:$C$10,A8,Suizo!$K$5:$K$10,"&gt;0")+SUMIFS(Suizo!$F$5:$F$10,Suizo!$H$5:$H$10,A8,Suizo!$K$5:$K$10,"&gt;0"))-(SUMIFS(Suizo!$F$5:$F$10,Suizo!$C$5:$C$10,A8,Suizo!$K$5:$K$10,"&gt;0")+SUMIFS(Suizo!$E$5:$E$10,Suizo!$H$5:$H$10,A8,Suizo!$K$5:$K$10,"&gt;0"))</f>
        <v>-8</v>
      </c>
      <c r="D8" s="10">
        <f>(SUMIFS(Suizo!$E$5:$E$10,Suizo!$C$5:$C$10,A8,Suizo!$K$5:$K$10,"&gt;0")+SUMIFS(Suizo!$F$5:$F$10,Suizo!$H$5:$H$10,A8,Suizo!$K$5:$K$10,"&gt;0"))</f>
        <v>1</v>
      </c>
      <c r="E8" s="10">
        <f t="shared" si="1"/>
        <v>49200094</v>
      </c>
      <c r="F8" s="10">
        <v>6.0</v>
      </c>
      <c r="G8" s="10">
        <f t="shared" si="2"/>
        <v>12</v>
      </c>
    </row>
    <row r="9">
      <c r="A9" s="10">
        <v>7.0</v>
      </c>
      <c r="B9" s="10">
        <f>COUNTIF(Suizo!$K$5:$K$10,A9)</f>
        <v>0</v>
      </c>
      <c r="C9" s="10">
        <f>(SUMIFS(Suizo!$E$5:$E$10,Suizo!$C$5:$C$10,A9,Suizo!$K$5:$K$10,"&gt;0")+SUMIFS(Suizo!$F$5:$F$10,Suizo!$H$5:$H$10,A9,Suizo!$K$5:$K$10,"&gt;0"))-(SUMIFS(Suizo!$F$5:$F$10,Suizo!$C$5:$C$10,A9,Suizo!$K$5:$K$10,"&gt;0")+SUMIFS(Suizo!$E$5:$E$10,Suizo!$H$5:$H$10,A9,Suizo!$K$5:$K$10,"&gt;0"))</f>
        <v>-5</v>
      </c>
      <c r="D9" s="10">
        <f>(SUMIFS(Suizo!$E$5:$E$10,Suizo!$C$5:$C$10,A9,Suizo!$K$5:$K$10,"&gt;0")+SUMIFS(Suizo!$F$5:$F$10,Suizo!$H$5:$H$10,A9,Suizo!$K$5:$K$10,"&gt;0"))</f>
        <v>4</v>
      </c>
      <c r="E9" s="10">
        <f t="shared" si="1"/>
        <v>49500393</v>
      </c>
      <c r="F9" s="10">
        <v>7.0</v>
      </c>
      <c r="G9" s="10">
        <f t="shared" si="2"/>
        <v>3</v>
      </c>
    </row>
    <row r="10">
      <c r="A10" s="10">
        <v>8.0</v>
      </c>
      <c r="B10" s="10">
        <f>COUNTIF(Suizo!$K$5:$K$10,A10)</f>
        <v>0</v>
      </c>
      <c r="C10" s="10">
        <f>(SUMIFS(Suizo!$E$5:$E$10,Suizo!$C$5:$C$10,A10,Suizo!$K$5:$K$10,"&gt;0")+SUMIFS(Suizo!$F$5:$F$10,Suizo!$H$5:$H$10,A10,Suizo!$K$5:$K$10,"&gt;0"))-(SUMIFS(Suizo!$F$5:$F$10,Suizo!$C$5:$C$10,A10,Suizo!$K$5:$K$10,"&gt;0")+SUMIFS(Suizo!$E$5:$E$10,Suizo!$H$5:$H$10,A10,Suizo!$K$5:$K$10,"&gt;0"))</f>
        <v>-2</v>
      </c>
      <c r="D10" s="10">
        <f>(SUMIFS(Suizo!$E$5:$E$10,Suizo!$C$5:$C$10,A10,Suizo!$K$5:$K$10,"&gt;0")+SUMIFS(Suizo!$F$5:$F$10,Suizo!$H$5:$H$10,A10,Suizo!$K$5:$K$10,"&gt;0"))</f>
        <v>7</v>
      </c>
      <c r="E10" s="10">
        <f t="shared" si="1"/>
        <v>49800692</v>
      </c>
      <c r="F10" s="10">
        <v>8.0</v>
      </c>
      <c r="G10" s="10">
        <f t="shared" si="2"/>
        <v>8</v>
      </c>
    </row>
    <row r="11">
      <c r="A11" s="10">
        <v>9.0</v>
      </c>
      <c r="B11" s="10">
        <f>COUNTIF(Suizo!$K$5:$K$10,A11)</f>
        <v>1</v>
      </c>
      <c r="C11" s="10">
        <f>(SUMIFS(Suizo!$E$5:$E$10,Suizo!$C$5:$C$10,A11,Suizo!$K$5:$K$10,"&gt;0")+SUMIFS(Suizo!$F$5:$F$10,Suizo!$H$5:$H$10,A11,Suizo!$K$5:$K$10,"&gt;0"))-(SUMIFS(Suizo!$F$5:$F$10,Suizo!$C$5:$C$10,A11,Suizo!$K$5:$K$10,"&gt;0")+SUMIFS(Suizo!$E$5:$E$10,Suizo!$H$5:$H$10,A11,Suizo!$K$5:$K$10,"&gt;0"))</f>
        <v>2</v>
      </c>
      <c r="D11" s="10">
        <f>(SUMIFS(Suizo!$E$5:$E$10,Suizo!$C$5:$C$10,A11,Suizo!$K$5:$K$10,"&gt;0")+SUMIFS(Suizo!$F$5:$F$10,Suizo!$H$5:$H$10,A11,Suizo!$K$5:$K$10,"&gt;0"))</f>
        <v>9</v>
      </c>
      <c r="E11" s="10">
        <f t="shared" si="1"/>
        <v>150200891</v>
      </c>
      <c r="F11" s="10">
        <v>9.0</v>
      </c>
      <c r="G11" s="10">
        <f t="shared" si="2"/>
        <v>10</v>
      </c>
    </row>
    <row r="12">
      <c r="A12" s="10">
        <v>10.0</v>
      </c>
      <c r="B12" s="10">
        <f>COUNTIF(Suizo!$K$5:$K$10,A12)</f>
        <v>0</v>
      </c>
      <c r="C12" s="10">
        <f>(SUMIFS(Suizo!$E$5:$E$10,Suizo!$C$5:$C$10,A12,Suizo!$K$5:$K$10,"&gt;0")+SUMIFS(Suizo!$F$5:$F$10,Suizo!$H$5:$H$10,A12,Suizo!$K$5:$K$10,"&gt;0"))-(SUMIFS(Suizo!$F$5:$F$10,Suizo!$C$5:$C$10,A12,Suizo!$K$5:$K$10,"&gt;0")+SUMIFS(Suizo!$E$5:$E$10,Suizo!$H$5:$H$10,A12,Suizo!$K$5:$K$10,"&gt;0"))</f>
        <v>-2</v>
      </c>
      <c r="D12" s="10">
        <f>(SUMIFS(Suizo!$E$5:$E$10,Suizo!$C$5:$C$10,A12,Suizo!$K$5:$K$10,"&gt;0")+SUMIFS(Suizo!$F$5:$F$10,Suizo!$H$5:$H$10,A12,Suizo!$K$5:$K$10,"&gt;0"))</f>
        <v>7</v>
      </c>
      <c r="E12" s="10">
        <f t="shared" si="1"/>
        <v>49800690</v>
      </c>
      <c r="F12" s="10">
        <v>10.0</v>
      </c>
      <c r="G12" s="10">
        <f t="shared" si="2"/>
        <v>7</v>
      </c>
    </row>
    <row r="13">
      <c r="A13" s="10">
        <v>11.0</v>
      </c>
      <c r="B13" s="10">
        <f>COUNTIF(Suizo!$K$5:$K$10,A13)</f>
        <v>0</v>
      </c>
      <c r="C13" s="10">
        <f>(SUMIFS(Suizo!$E$5:$E$10,Suizo!$C$5:$C$10,A13,Suizo!$K$5:$K$10,"&gt;0")+SUMIFS(Suizo!$F$5:$F$10,Suizo!$H$5:$H$10,A13,Suizo!$K$5:$K$10,"&gt;0"))-(SUMIFS(Suizo!$F$5:$F$10,Suizo!$C$5:$C$10,A13,Suizo!$K$5:$K$10,"&gt;0")+SUMIFS(Suizo!$E$5:$E$10,Suizo!$H$5:$H$10,A13,Suizo!$K$5:$K$10,"&gt;0"))</f>
        <v>-6</v>
      </c>
      <c r="D13" s="10">
        <f>(SUMIFS(Suizo!$E$5:$E$10,Suizo!$C$5:$C$10,A13,Suizo!$K$5:$K$10,"&gt;0")+SUMIFS(Suizo!$F$5:$F$10,Suizo!$H$5:$H$10,A13,Suizo!$K$5:$K$10,"&gt;0"))</f>
        <v>3</v>
      </c>
      <c r="E13" s="10">
        <f t="shared" si="1"/>
        <v>49400289</v>
      </c>
      <c r="F13" s="10">
        <v>11.0</v>
      </c>
      <c r="G13" s="10">
        <f t="shared" si="2"/>
        <v>11</v>
      </c>
    </row>
    <row r="14">
      <c r="A14" s="10">
        <v>12.0</v>
      </c>
      <c r="B14" s="10">
        <f>COUNTIF(Suizo!$K$5:$K$10,A14)</f>
        <v>1</v>
      </c>
      <c r="C14" s="10">
        <f>(SUMIFS(Suizo!$E$5:$E$10,Suizo!$C$5:$C$10,A14,Suizo!$K$5:$K$10,"&gt;0")+SUMIFS(Suizo!$F$5:$F$10,Suizo!$H$5:$H$10,A14,Suizo!$K$5:$K$10,"&gt;0"))-(SUMIFS(Suizo!$F$5:$F$10,Suizo!$C$5:$C$10,A14,Suizo!$K$5:$K$10,"&gt;0")+SUMIFS(Suizo!$E$5:$E$10,Suizo!$H$5:$H$10,A14,Suizo!$K$5:$K$10,"&gt;0"))</f>
        <v>2</v>
      </c>
      <c r="D14" s="10">
        <f>(SUMIFS(Suizo!$E$5:$E$10,Suizo!$C$5:$C$10,A14,Suizo!$K$5:$K$10,"&gt;0")+SUMIFS(Suizo!$F$5:$F$10,Suizo!$H$5:$H$10,A14,Suizo!$K$5:$K$10,"&gt;0"))</f>
        <v>9</v>
      </c>
      <c r="E14" s="10">
        <f t="shared" si="1"/>
        <v>150200888</v>
      </c>
      <c r="F14" s="10">
        <v>12.0</v>
      </c>
      <c r="G14" s="10">
        <f t="shared" si="2"/>
        <v>6</v>
      </c>
    </row>
    <row r="16">
      <c r="A16" s="10" t="s">
        <v>82</v>
      </c>
      <c r="B16" s="10" t="s">
        <v>83</v>
      </c>
      <c r="C16" s="10" t="s">
        <v>84</v>
      </c>
      <c r="D16" s="10" t="s">
        <v>13</v>
      </c>
      <c r="E16" s="10" t="s">
        <v>25</v>
      </c>
    </row>
    <row r="17">
      <c r="A17" s="10">
        <v>1.0</v>
      </c>
      <c r="B17" s="10">
        <f t="shared" ref="B17:B22" si="4">MATCH(0,F17:Q17,0)</f>
        <v>1</v>
      </c>
      <c r="C17" s="10">
        <f t="shared" ref="C17:C22" si="5">IF(MIN(R17:AC17)&lt;99,MIN(R17:AC17),MIN(AD17:AO17))</f>
        <v>2</v>
      </c>
      <c r="D17" s="10">
        <f t="shared" ref="D17:E17" si="3">INDEX($G$3:$G$14,B17)</f>
        <v>2</v>
      </c>
      <c r="E17" s="10">
        <f t="shared" si="3"/>
        <v>5</v>
      </c>
      <c r="F17" s="10">
        <v>0.0</v>
      </c>
      <c r="G17" s="10">
        <v>0.0</v>
      </c>
      <c r="H17" s="10">
        <v>0.0</v>
      </c>
      <c r="I17" s="10">
        <v>0.0</v>
      </c>
      <c r="J17" s="10">
        <v>0.0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0">
        <v>0.0</v>
      </c>
      <c r="Q17" s="10">
        <v>0.0</v>
      </c>
      <c r="R17" s="10">
        <f t="array" ref="R17">IF(AND(F17=0,1&gt;B17,(COUNTIFS(Suizo!$C$5:$C$10,D17,Suizo!$H$5:$H$10,INDEX($G$3:$G$14,1))+COUNTIFS(Suizo!$C$5:$C$10,INDEX($G$3:$G$14,1),Suizo!$H$5:$H$10,D17))=0),1,99)</f>
        <v>99</v>
      </c>
      <c r="S17" s="10">
        <f t="array" ref="S17">IF(AND(G17=0,2&gt;B17,(COUNTIFS(Suizo!$C$5:$C$10,D17,Suizo!$H$5:$H$10,INDEX($G$3:$G$14,2))+COUNTIFS(Suizo!$C$5:$C$10,INDEX($G$3:$G$14,2),Suizo!$H$5:$H$10,D17))=0),2,99)</f>
        <v>2</v>
      </c>
      <c r="T17" s="10">
        <f t="array" ref="T17">IF(AND(H17=0,3&gt;B17,(COUNTIFS(Suizo!$C$5:$C$10,D17,Suizo!$H$5:$H$10,INDEX($G$3:$G$14,3))+COUNTIFS(Suizo!$C$5:$C$10,INDEX($G$3:$G$14,3),Suizo!$H$5:$H$10,D17))=0),3,99)</f>
        <v>3</v>
      </c>
      <c r="U17" s="10">
        <f t="array" ref="U17">IF(AND(I17=0,4&gt;B17,(COUNTIFS(Suizo!$C$5:$C$10,D17,Suizo!$H$5:$H$10,INDEX($G$3:$G$14,4))+COUNTIFS(Suizo!$C$5:$C$10,INDEX($G$3:$G$14,4),Suizo!$H$5:$H$10,D17))=0),4,99)</f>
        <v>4</v>
      </c>
      <c r="V17" s="10">
        <f t="array" ref="V17">IF(AND(J17=0,5&gt;B17,(COUNTIFS(Suizo!$C$5:$C$10,D17,Suizo!$H$5:$H$10,INDEX($G$3:$G$14,5))+COUNTIFS(Suizo!$C$5:$C$10,INDEX($G$3:$G$14,5),Suizo!$H$5:$H$10,D17))=0),5,99)</f>
        <v>5</v>
      </c>
      <c r="W17" s="10">
        <f t="array" ref="W17">IF(AND(K17=0,6&gt;B17,(COUNTIFS(Suizo!$C$5:$C$10,D17,Suizo!$H$5:$H$10,INDEX($G$3:$G$14,6))+COUNTIFS(Suizo!$C$5:$C$10,INDEX($G$3:$G$14,6),Suizo!$H$5:$H$10,D17))=0),6,99)</f>
        <v>6</v>
      </c>
      <c r="X17" s="10">
        <f t="array" ref="X17">IF(AND(L17=0,7&gt;B17,(COUNTIFS(Suizo!$C$5:$C$10,D17,Suizo!$H$5:$H$10,INDEX($G$3:$G$14,7))+COUNTIFS(Suizo!$C$5:$C$10,INDEX($G$3:$G$14,7),Suizo!$H$5:$H$10,D17))=0),7,99)</f>
        <v>7</v>
      </c>
      <c r="Y17" s="10">
        <f t="array" ref="Y17">IF(AND(M17=0,8&gt;B17,(COUNTIFS(Suizo!$C$5:$C$10,D17,Suizo!$H$5:$H$10,INDEX($G$3:$G$14,8))+COUNTIFS(Suizo!$C$5:$C$10,INDEX($G$3:$G$14,8),Suizo!$H$5:$H$10,D17))=0),8,99)</f>
        <v>8</v>
      </c>
      <c r="Z17" s="10">
        <f t="array" ref="Z17">IF(AND(N17=0,9&gt;B17,(COUNTIFS(Suizo!$C$5:$C$10,D17,Suizo!$H$5:$H$10,INDEX($G$3:$G$14,9))+COUNTIFS(Suizo!$C$5:$C$10,INDEX($G$3:$G$14,9),Suizo!$H$5:$H$10,D17))=0),9,99)</f>
        <v>9</v>
      </c>
      <c r="AA17" s="10">
        <f t="array" ref="AA17">IF(AND(O17=0,10&gt;B17,(COUNTIFS(Suizo!$C$5:$C$10,D17,Suizo!$H$5:$H$10,INDEX($G$3:$G$14,10))+COUNTIFS(Suizo!$C$5:$C$10,INDEX($G$3:$G$14,10),Suizo!$H$5:$H$10,D17))=0),10,99)</f>
        <v>10</v>
      </c>
      <c r="AB17" s="10">
        <f t="array" ref="AB17">IF(AND(P17=0,11&gt;B17,(COUNTIFS(Suizo!$C$5:$C$10,D17,Suizo!$H$5:$H$10,INDEX($G$3:$G$14,11))+COUNTIFS(Suizo!$C$5:$C$10,INDEX($G$3:$G$14,11),Suizo!$H$5:$H$10,D17))=0),11,99)</f>
        <v>11</v>
      </c>
      <c r="AC17" s="10">
        <f t="array" ref="AC17">IF(AND(Q17=0,12&gt;B17,(COUNTIFS(Suizo!$C$5:$C$10,D17,Suizo!$H$5:$H$10,INDEX($G$3:$G$14,12))+COUNTIFS(Suizo!$C$5:$C$10,INDEX($G$3:$G$14,12),Suizo!$H$5:$H$10,D17))=0),12,99)</f>
        <v>99</v>
      </c>
      <c r="AD17" s="10">
        <f t="shared" ref="AD17:AD22" si="7">IF(AND(F17=0,1&gt;B17),1,99)</f>
        <v>99</v>
      </c>
      <c r="AE17" s="10">
        <f t="shared" ref="AE17:AE22" si="8">IF(AND(G17=0,2&gt;B17),2,99)</f>
        <v>2</v>
      </c>
      <c r="AF17" s="10">
        <f t="shared" ref="AF17:AF22" si="9">IF(AND(H17=0,3&gt;B17),3,99)</f>
        <v>3</v>
      </c>
      <c r="AG17" s="10">
        <f t="shared" ref="AG17:AG22" si="10">IF(AND(I17=0,4&gt;B17),4,99)</f>
        <v>4</v>
      </c>
      <c r="AH17" s="10">
        <f t="shared" ref="AH17:AH22" si="11">IF(AND(J17=0,5&gt;B17),5,99)</f>
        <v>5</v>
      </c>
      <c r="AI17" s="10">
        <f t="shared" ref="AI17:AI22" si="12">IF(AND(K17=0,6&gt;B17),6,99)</f>
        <v>6</v>
      </c>
      <c r="AJ17" s="10">
        <f t="shared" ref="AJ17:AJ22" si="13">IF(AND(L17=0,7&gt;B17),7,99)</f>
        <v>7</v>
      </c>
      <c r="AK17" s="10">
        <f t="shared" ref="AK17:AK22" si="14">IF(AND(M17=0,8&gt;B17),8,99)</f>
        <v>8</v>
      </c>
      <c r="AL17" s="10">
        <f t="shared" ref="AL17:AL22" si="15">IF(AND(N17=0,9&gt;B17),9,99)</f>
        <v>9</v>
      </c>
      <c r="AM17" s="10">
        <f t="shared" ref="AM17:AM22" si="16">IF(AND(O17=0,10&gt;B17),10,99)</f>
        <v>10</v>
      </c>
      <c r="AN17" s="10">
        <f t="shared" ref="AN17:AN22" si="17">IF(AND(P17=0,11&gt;B17),11,99)</f>
        <v>11</v>
      </c>
      <c r="AO17" s="10">
        <f t="shared" ref="AO17:AO22" si="18">IF(AND(Q17=0,12&gt;B17),12,99)</f>
        <v>12</v>
      </c>
      <c r="AP17" s="10" t="str">
        <f t="shared" ref="AP17:AP22" si="19">IF(MIN(R17:AC17)=99,"REVANCHA","")</f>
        <v/>
      </c>
    </row>
    <row r="18">
      <c r="A18" s="10">
        <v>2.0</v>
      </c>
      <c r="B18" s="10">
        <f t="shared" si="4"/>
        <v>3</v>
      </c>
      <c r="C18" s="10">
        <f t="shared" si="5"/>
        <v>4</v>
      </c>
      <c r="D18" s="10">
        <f t="shared" ref="D18:E18" si="6">INDEX($G$3:$G$14,B18)</f>
        <v>1</v>
      </c>
      <c r="E18" s="10">
        <f t="shared" si="6"/>
        <v>4</v>
      </c>
      <c r="F18" s="10">
        <f t="shared" ref="F18:F22" si="21">IF(OR(F17=1,B17=1,C17=1),1,0)</f>
        <v>1</v>
      </c>
      <c r="G18" s="10">
        <f t="shared" ref="G18:G22" si="22">IF(OR(G17=1,B17=2,C17=2),1,0)</f>
        <v>1</v>
      </c>
      <c r="H18" s="10">
        <f t="shared" ref="H18:H22" si="23">IF(OR(H17=1,B17=3,C17=3),1,0)</f>
        <v>0</v>
      </c>
      <c r="I18" s="10">
        <f t="shared" ref="I18:I22" si="24">IF(OR(I17=1,B17=4,C17=4),1,0)</f>
        <v>0</v>
      </c>
      <c r="J18" s="10">
        <f t="shared" ref="J18:J22" si="25">IF(OR(J17=1,B17=5,C17=5),1,0)</f>
        <v>0</v>
      </c>
      <c r="K18" s="10">
        <f t="shared" ref="K18:K22" si="26">IF(OR(K17=1,B17=6,C17=6),1,0)</f>
        <v>0</v>
      </c>
      <c r="L18" s="10">
        <f t="shared" ref="L18:L22" si="27">IF(OR(L17=1,B17=7,C17=7),1,0)</f>
        <v>0</v>
      </c>
      <c r="M18" s="10">
        <f t="shared" ref="M18:M22" si="28">IF(OR(M17=1,B17=8,C17=8),1,0)</f>
        <v>0</v>
      </c>
      <c r="N18" s="10">
        <f t="shared" ref="N18:N22" si="29">IF(OR(N17=1,B17=9,C17=9),1,0)</f>
        <v>0</v>
      </c>
      <c r="O18" s="10">
        <f t="shared" ref="O18:O22" si="30">IF(OR(O17=1,B17=10,C17=10),1,0)</f>
        <v>0</v>
      </c>
      <c r="P18" s="10">
        <f t="shared" ref="P18:P22" si="31">IF(OR(P17=1,B17=11,C17=11),1,0)</f>
        <v>0</v>
      </c>
      <c r="Q18" s="10">
        <f t="shared" ref="Q18:Q22" si="32">IF(OR(Q17=1,B17=12,C17=12),1,0)</f>
        <v>0</v>
      </c>
      <c r="R18" s="10">
        <f t="array" ref="R18">IF(AND(F18=0,1&gt;B18,(COUNTIFS(Suizo!$C$5:$C$10,D18,Suizo!$H$5:$H$10,INDEX($G$3:$G$14,1))+COUNTIFS(Suizo!$C$5:$C$10,INDEX($G$3:$G$14,1),Suizo!$H$5:$H$10,D18))=0),1,99)</f>
        <v>99</v>
      </c>
      <c r="S18" s="10">
        <f t="array" ref="S18">IF(AND(G18=0,2&gt;B18,(COUNTIFS(Suizo!$C$5:$C$10,D18,Suizo!$H$5:$H$10,INDEX($G$3:$G$14,2))+COUNTIFS(Suizo!$C$5:$C$10,INDEX($G$3:$G$14,2),Suizo!$H$5:$H$10,D18))=0),2,99)</f>
        <v>99</v>
      </c>
      <c r="T18" s="10">
        <f t="array" ref="T18">IF(AND(H18=0,3&gt;B18,(COUNTIFS(Suizo!$C$5:$C$10,D18,Suizo!$H$5:$H$10,INDEX($G$3:$G$14,3))+COUNTIFS(Suizo!$C$5:$C$10,INDEX($G$3:$G$14,3),Suizo!$H$5:$H$10,D18))=0),3,99)</f>
        <v>99</v>
      </c>
      <c r="U18" s="10">
        <f t="array" ref="U18">IF(AND(I18=0,4&gt;B18,(COUNTIFS(Suizo!$C$5:$C$10,D18,Suizo!$H$5:$H$10,INDEX($G$3:$G$14,4))+COUNTIFS(Suizo!$C$5:$C$10,INDEX($G$3:$G$14,4),Suizo!$H$5:$H$10,D18))=0),4,99)</f>
        <v>4</v>
      </c>
      <c r="V18" s="10">
        <f t="array" ref="V18">IF(AND(J18=0,5&gt;B18,(COUNTIFS(Suizo!$C$5:$C$10,D18,Suizo!$H$5:$H$10,INDEX($G$3:$G$14,5))+COUNTIFS(Suizo!$C$5:$C$10,INDEX($G$3:$G$14,5),Suizo!$H$5:$H$10,D18))=0),5,99)</f>
        <v>5</v>
      </c>
      <c r="W18" s="10">
        <f t="array" ref="W18">IF(AND(K18=0,6&gt;B18,(COUNTIFS(Suizo!$C$5:$C$10,D18,Suizo!$H$5:$H$10,INDEX($G$3:$G$14,6))+COUNTIFS(Suizo!$C$5:$C$10,INDEX($G$3:$G$14,6),Suizo!$H$5:$H$10,D18))=0),6,99)</f>
        <v>6</v>
      </c>
      <c r="X18" s="10">
        <f t="array" ref="X18">IF(AND(L18=0,7&gt;B18,(COUNTIFS(Suizo!$C$5:$C$10,D18,Suizo!$H$5:$H$10,INDEX($G$3:$G$14,7))+COUNTIFS(Suizo!$C$5:$C$10,INDEX($G$3:$G$14,7),Suizo!$H$5:$H$10,D18))=0),7,99)</f>
        <v>7</v>
      </c>
      <c r="Y18" s="10">
        <f t="array" ref="Y18">IF(AND(M18=0,8&gt;B18,(COUNTIFS(Suizo!$C$5:$C$10,D18,Suizo!$H$5:$H$10,INDEX($G$3:$G$14,8))+COUNTIFS(Suizo!$C$5:$C$10,INDEX($G$3:$G$14,8),Suizo!$H$5:$H$10,D18))=0),8,99)</f>
        <v>8</v>
      </c>
      <c r="Z18" s="10">
        <f t="array" ref="Z18">IF(AND(N18=0,9&gt;B18,(COUNTIFS(Suizo!$C$5:$C$10,D18,Suizo!$H$5:$H$10,INDEX($G$3:$G$14,9))+COUNTIFS(Suizo!$C$5:$C$10,INDEX($G$3:$G$14,9),Suizo!$H$5:$H$10,D18))=0),9,99)</f>
        <v>9</v>
      </c>
      <c r="AA18" s="10">
        <f t="array" ref="AA18">IF(AND(O18=0,10&gt;B18,(COUNTIFS(Suizo!$C$5:$C$10,D18,Suizo!$H$5:$H$10,INDEX($G$3:$G$14,10))+COUNTIFS(Suizo!$C$5:$C$10,INDEX($G$3:$G$14,10),Suizo!$H$5:$H$10,D18))=0),10,99)</f>
        <v>99</v>
      </c>
      <c r="AB18" s="10">
        <f t="array" ref="AB18">IF(AND(P18=0,11&gt;B18,(COUNTIFS(Suizo!$C$5:$C$10,D18,Suizo!$H$5:$H$10,INDEX($G$3:$G$14,11))+COUNTIFS(Suizo!$C$5:$C$10,INDEX($G$3:$G$14,11),Suizo!$H$5:$H$10,D18))=0),11,99)</f>
        <v>11</v>
      </c>
      <c r="AC18" s="10">
        <f t="array" ref="AC18">IF(AND(Q18=0,12&gt;B18,(COUNTIFS(Suizo!$C$5:$C$10,D18,Suizo!$H$5:$H$10,INDEX($G$3:$G$14,12))+COUNTIFS(Suizo!$C$5:$C$10,INDEX($G$3:$G$14,12),Suizo!$H$5:$H$10,D18))=0),12,99)</f>
        <v>12</v>
      </c>
      <c r="AD18" s="10">
        <f t="shared" si="7"/>
        <v>99</v>
      </c>
      <c r="AE18" s="10">
        <f t="shared" si="8"/>
        <v>99</v>
      </c>
      <c r="AF18" s="10">
        <f t="shared" si="9"/>
        <v>99</v>
      </c>
      <c r="AG18" s="10">
        <f t="shared" si="10"/>
        <v>4</v>
      </c>
      <c r="AH18" s="10">
        <f t="shared" si="11"/>
        <v>5</v>
      </c>
      <c r="AI18" s="10">
        <f t="shared" si="12"/>
        <v>6</v>
      </c>
      <c r="AJ18" s="10">
        <f t="shared" si="13"/>
        <v>7</v>
      </c>
      <c r="AK18" s="10">
        <f t="shared" si="14"/>
        <v>8</v>
      </c>
      <c r="AL18" s="10">
        <f t="shared" si="15"/>
        <v>9</v>
      </c>
      <c r="AM18" s="10">
        <f t="shared" si="16"/>
        <v>10</v>
      </c>
      <c r="AN18" s="10">
        <f t="shared" si="17"/>
        <v>11</v>
      </c>
      <c r="AO18" s="10">
        <f t="shared" si="18"/>
        <v>12</v>
      </c>
      <c r="AP18" s="10" t="str">
        <f t="shared" si="19"/>
        <v/>
      </c>
    </row>
    <row r="19">
      <c r="A19" s="10">
        <v>3.0</v>
      </c>
      <c r="B19" s="10">
        <f t="shared" si="4"/>
        <v>5</v>
      </c>
      <c r="C19" s="10">
        <f t="shared" si="5"/>
        <v>6</v>
      </c>
      <c r="D19" s="10">
        <f t="shared" ref="D19:E19" si="20">INDEX($G$3:$G$14,B19)</f>
        <v>9</v>
      </c>
      <c r="E19" s="10">
        <f t="shared" si="20"/>
        <v>12</v>
      </c>
      <c r="F19" s="10">
        <f t="shared" si="21"/>
        <v>1</v>
      </c>
      <c r="G19" s="10">
        <f t="shared" si="22"/>
        <v>1</v>
      </c>
      <c r="H19" s="10">
        <f t="shared" si="23"/>
        <v>1</v>
      </c>
      <c r="I19" s="10">
        <f t="shared" si="24"/>
        <v>1</v>
      </c>
      <c r="J19" s="10">
        <f t="shared" si="25"/>
        <v>0</v>
      </c>
      <c r="K19" s="10">
        <f t="shared" si="26"/>
        <v>0</v>
      </c>
      <c r="L19" s="10">
        <f t="shared" si="27"/>
        <v>0</v>
      </c>
      <c r="M19" s="10">
        <f t="shared" si="28"/>
        <v>0</v>
      </c>
      <c r="N19" s="10">
        <f t="shared" si="29"/>
        <v>0</v>
      </c>
      <c r="O19" s="10">
        <f t="shared" si="30"/>
        <v>0</v>
      </c>
      <c r="P19" s="10">
        <f t="shared" si="31"/>
        <v>0</v>
      </c>
      <c r="Q19" s="10">
        <f t="shared" si="32"/>
        <v>0</v>
      </c>
      <c r="R19" s="10">
        <f t="array" ref="R19">IF(AND(F19=0,1&gt;B19,(COUNTIFS(Suizo!$C$5:$C$10,D19,Suizo!$H$5:$H$10,INDEX($G$3:$G$14,1))+COUNTIFS(Suizo!$C$5:$C$10,INDEX($G$3:$G$14,1),Suizo!$H$5:$H$10,D19))=0),1,99)</f>
        <v>99</v>
      </c>
      <c r="S19" s="10">
        <f t="array" ref="S19">IF(AND(G19=0,2&gt;B19,(COUNTIFS(Suizo!$C$5:$C$10,D19,Suizo!$H$5:$H$10,INDEX($G$3:$G$14,2))+COUNTIFS(Suizo!$C$5:$C$10,INDEX($G$3:$G$14,2),Suizo!$H$5:$H$10,D19))=0),2,99)</f>
        <v>99</v>
      </c>
      <c r="T19" s="10">
        <f t="array" ref="T19">IF(AND(H19=0,3&gt;B19,(COUNTIFS(Suizo!$C$5:$C$10,D19,Suizo!$H$5:$H$10,INDEX($G$3:$G$14,3))+COUNTIFS(Suizo!$C$5:$C$10,INDEX($G$3:$G$14,3),Suizo!$H$5:$H$10,D19))=0),3,99)</f>
        <v>99</v>
      </c>
      <c r="U19" s="10">
        <f t="array" ref="U19">IF(AND(I19=0,4&gt;B19,(COUNTIFS(Suizo!$C$5:$C$10,D19,Suizo!$H$5:$H$10,INDEX($G$3:$G$14,4))+COUNTIFS(Suizo!$C$5:$C$10,INDEX($G$3:$G$14,4),Suizo!$H$5:$H$10,D19))=0),4,99)</f>
        <v>99</v>
      </c>
      <c r="V19" s="10">
        <f t="array" ref="V19">IF(AND(J19=0,5&gt;B19,(COUNTIFS(Suizo!$C$5:$C$10,D19,Suizo!$H$5:$H$10,INDEX($G$3:$G$14,5))+COUNTIFS(Suizo!$C$5:$C$10,INDEX($G$3:$G$14,5),Suizo!$H$5:$H$10,D19))=0),5,99)</f>
        <v>99</v>
      </c>
      <c r="W19" s="10">
        <f t="array" ref="W19">IF(AND(K19=0,6&gt;B19,(COUNTIFS(Suizo!$C$5:$C$10,D19,Suizo!$H$5:$H$10,INDEX($G$3:$G$14,6))+COUNTIFS(Suizo!$C$5:$C$10,INDEX($G$3:$G$14,6),Suizo!$H$5:$H$10,D19))=0),6,99)</f>
        <v>6</v>
      </c>
      <c r="X19" s="10">
        <f t="array" ref="X19">IF(AND(L19=0,7&gt;B19,(COUNTIFS(Suizo!$C$5:$C$10,D19,Suizo!$H$5:$H$10,INDEX($G$3:$G$14,7))+COUNTIFS(Suizo!$C$5:$C$10,INDEX($G$3:$G$14,7),Suizo!$H$5:$H$10,D19))=0),7,99)</f>
        <v>7</v>
      </c>
      <c r="Y19" s="10">
        <f t="array" ref="Y19">IF(AND(M19=0,8&gt;B19,(COUNTIFS(Suizo!$C$5:$C$10,D19,Suizo!$H$5:$H$10,INDEX($G$3:$G$14,8))+COUNTIFS(Suizo!$C$5:$C$10,INDEX($G$3:$G$14,8),Suizo!$H$5:$H$10,D19))=0),8,99)</f>
        <v>8</v>
      </c>
      <c r="Z19" s="10">
        <f t="array" ref="Z19">IF(AND(N19=0,9&gt;B19,(COUNTIFS(Suizo!$C$5:$C$10,D19,Suizo!$H$5:$H$10,INDEX($G$3:$G$14,9))+COUNTIFS(Suizo!$C$5:$C$10,INDEX($G$3:$G$14,9),Suizo!$H$5:$H$10,D19))=0),9,99)</f>
        <v>99</v>
      </c>
      <c r="AA19" s="10">
        <f t="array" ref="AA19">IF(AND(O19=0,10&gt;B19,(COUNTIFS(Suizo!$C$5:$C$10,D19,Suizo!$H$5:$H$10,INDEX($G$3:$G$14,10))+COUNTIFS(Suizo!$C$5:$C$10,INDEX($G$3:$G$14,10),Suizo!$H$5:$H$10,D19))=0),10,99)</f>
        <v>10</v>
      </c>
      <c r="AB19" s="10">
        <f t="array" ref="AB19">IF(AND(P19=0,11&gt;B19,(COUNTIFS(Suizo!$C$5:$C$10,D19,Suizo!$H$5:$H$10,INDEX($G$3:$G$14,11))+COUNTIFS(Suizo!$C$5:$C$10,INDEX($G$3:$G$14,11),Suizo!$H$5:$H$10,D19))=0),11,99)</f>
        <v>11</v>
      </c>
      <c r="AC19" s="10">
        <f t="array" ref="AC19">IF(AND(Q19=0,12&gt;B19,(COUNTIFS(Suizo!$C$5:$C$10,D19,Suizo!$H$5:$H$10,INDEX($G$3:$G$14,12))+COUNTIFS(Suizo!$C$5:$C$10,INDEX($G$3:$G$14,12),Suizo!$H$5:$H$10,D19))=0),12,99)</f>
        <v>12</v>
      </c>
      <c r="AD19" s="10">
        <f t="shared" si="7"/>
        <v>99</v>
      </c>
      <c r="AE19" s="10">
        <f t="shared" si="8"/>
        <v>99</v>
      </c>
      <c r="AF19" s="10">
        <f t="shared" si="9"/>
        <v>99</v>
      </c>
      <c r="AG19" s="10">
        <f t="shared" si="10"/>
        <v>99</v>
      </c>
      <c r="AH19" s="10">
        <f t="shared" si="11"/>
        <v>99</v>
      </c>
      <c r="AI19" s="10">
        <f t="shared" si="12"/>
        <v>6</v>
      </c>
      <c r="AJ19" s="10">
        <f t="shared" si="13"/>
        <v>7</v>
      </c>
      <c r="AK19" s="10">
        <f t="shared" si="14"/>
        <v>8</v>
      </c>
      <c r="AL19" s="10">
        <f t="shared" si="15"/>
        <v>9</v>
      </c>
      <c r="AM19" s="10">
        <f t="shared" si="16"/>
        <v>10</v>
      </c>
      <c r="AN19" s="10">
        <f t="shared" si="17"/>
        <v>11</v>
      </c>
      <c r="AO19" s="10">
        <f t="shared" si="18"/>
        <v>12</v>
      </c>
      <c r="AP19" s="10" t="str">
        <f t="shared" si="19"/>
        <v/>
      </c>
    </row>
    <row r="20">
      <c r="A20" s="10">
        <v>4.0</v>
      </c>
      <c r="B20" s="10">
        <f t="shared" si="4"/>
        <v>7</v>
      </c>
      <c r="C20" s="10">
        <f t="shared" si="5"/>
        <v>8</v>
      </c>
      <c r="D20" s="10">
        <f t="shared" ref="D20:E20" si="33">INDEX($G$3:$G$14,B20)</f>
        <v>3</v>
      </c>
      <c r="E20" s="10">
        <f t="shared" si="33"/>
        <v>8</v>
      </c>
      <c r="F20" s="10">
        <f t="shared" si="21"/>
        <v>1</v>
      </c>
      <c r="G20" s="10">
        <f t="shared" si="22"/>
        <v>1</v>
      </c>
      <c r="H20" s="10">
        <f t="shared" si="23"/>
        <v>1</v>
      </c>
      <c r="I20" s="10">
        <f t="shared" si="24"/>
        <v>1</v>
      </c>
      <c r="J20" s="10">
        <f t="shared" si="25"/>
        <v>1</v>
      </c>
      <c r="K20" s="10">
        <f t="shared" si="26"/>
        <v>1</v>
      </c>
      <c r="L20" s="10">
        <f t="shared" si="27"/>
        <v>0</v>
      </c>
      <c r="M20" s="10">
        <f t="shared" si="28"/>
        <v>0</v>
      </c>
      <c r="N20" s="10">
        <f t="shared" si="29"/>
        <v>0</v>
      </c>
      <c r="O20" s="10">
        <f t="shared" si="30"/>
        <v>0</v>
      </c>
      <c r="P20" s="10">
        <f t="shared" si="31"/>
        <v>0</v>
      </c>
      <c r="Q20" s="10">
        <f t="shared" si="32"/>
        <v>0</v>
      </c>
      <c r="R20" s="10">
        <f t="array" ref="R20">IF(AND(F20=0,1&gt;B20,(COUNTIFS(Suizo!$C$5:$C$10,D20,Suizo!$H$5:$H$10,INDEX($G$3:$G$14,1))+COUNTIFS(Suizo!$C$5:$C$10,INDEX($G$3:$G$14,1),Suizo!$H$5:$H$10,D20))=0),1,99)</f>
        <v>99</v>
      </c>
      <c r="S20" s="10">
        <f t="array" ref="S20">IF(AND(G20=0,2&gt;B20,(COUNTIFS(Suizo!$C$5:$C$10,D20,Suizo!$H$5:$H$10,INDEX($G$3:$G$14,2))+COUNTIFS(Suizo!$C$5:$C$10,INDEX($G$3:$G$14,2),Suizo!$H$5:$H$10,D20))=0),2,99)</f>
        <v>99</v>
      </c>
      <c r="T20" s="10">
        <f t="array" ref="T20">IF(AND(H20=0,3&gt;B20,(COUNTIFS(Suizo!$C$5:$C$10,D20,Suizo!$H$5:$H$10,INDEX($G$3:$G$14,3))+COUNTIFS(Suizo!$C$5:$C$10,INDEX($G$3:$G$14,3),Suizo!$H$5:$H$10,D20))=0),3,99)</f>
        <v>99</v>
      </c>
      <c r="U20" s="10">
        <f t="array" ref="U20">IF(AND(I20=0,4&gt;B20,(COUNTIFS(Suizo!$C$5:$C$10,D20,Suizo!$H$5:$H$10,INDEX($G$3:$G$14,4))+COUNTIFS(Suizo!$C$5:$C$10,INDEX($G$3:$G$14,4),Suizo!$H$5:$H$10,D20))=0),4,99)</f>
        <v>99</v>
      </c>
      <c r="V20" s="10">
        <f t="array" ref="V20">IF(AND(J20=0,5&gt;B20,(COUNTIFS(Suizo!$C$5:$C$10,D20,Suizo!$H$5:$H$10,INDEX($G$3:$G$14,5))+COUNTIFS(Suizo!$C$5:$C$10,INDEX($G$3:$G$14,5),Suizo!$H$5:$H$10,D20))=0),5,99)</f>
        <v>99</v>
      </c>
      <c r="W20" s="10">
        <f t="array" ref="W20">IF(AND(K20=0,6&gt;B20,(COUNTIFS(Suizo!$C$5:$C$10,D20,Suizo!$H$5:$H$10,INDEX($G$3:$G$14,6))+COUNTIFS(Suizo!$C$5:$C$10,INDEX($G$3:$G$14,6),Suizo!$H$5:$H$10,D20))=0),6,99)</f>
        <v>99</v>
      </c>
      <c r="X20" s="10">
        <f t="array" ref="X20">IF(AND(L20=0,7&gt;B20,(COUNTIFS(Suizo!$C$5:$C$10,D20,Suizo!$H$5:$H$10,INDEX($G$3:$G$14,7))+COUNTIFS(Suizo!$C$5:$C$10,INDEX($G$3:$G$14,7),Suizo!$H$5:$H$10,D20))=0),7,99)</f>
        <v>99</v>
      </c>
      <c r="Y20" s="10">
        <f t="array" ref="Y20">IF(AND(M20=0,8&gt;B20,(COUNTIFS(Suizo!$C$5:$C$10,D20,Suizo!$H$5:$H$10,INDEX($G$3:$G$14,8))+COUNTIFS(Suizo!$C$5:$C$10,INDEX($G$3:$G$14,8),Suizo!$H$5:$H$10,D20))=0),8,99)</f>
        <v>8</v>
      </c>
      <c r="Z20" s="10">
        <f t="array" ref="Z20">IF(AND(N20=0,9&gt;B20,(COUNTIFS(Suizo!$C$5:$C$10,D20,Suizo!$H$5:$H$10,INDEX($G$3:$G$14,9))+COUNTIFS(Suizo!$C$5:$C$10,INDEX($G$3:$G$14,9),Suizo!$H$5:$H$10,D20))=0),9,99)</f>
        <v>9</v>
      </c>
      <c r="AA20" s="10">
        <f t="array" ref="AA20">IF(AND(O20=0,10&gt;B20,(COUNTIFS(Suizo!$C$5:$C$10,D20,Suizo!$H$5:$H$10,INDEX($G$3:$G$14,10))+COUNTIFS(Suizo!$C$5:$C$10,INDEX($G$3:$G$14,10),Suizo!$H$5:$H$10,D20))=0),10,99)</f>
        <v>10</v>
      </c>
      <c r="AB20" s="10">
        <f t="array" ref="AB20">IF(AND(P20=0,11&gt;B20,(COUNTIFS(Suizo!$C$5:$C$10,D20,Suizo!$H$5:$H$10,INDEX($G$3:$G$14,11))+COUNTIFS(Suizo!$C$5:$C$10,INDEX($G$3:$G$14,11),Suizo!$H$5:$H$10,D20))=0),11,99)</f>
        <v>11</v>
      </c>
      <c r="AC20" s="10">
        <f t="array" ref="AC20">IF(AND(Q20=0,12&gt;B20,(COUNTIFS(Suizo!$C$5:$C$10,D20,Suizo!$H$5:$H$10,INDEX($G$3:$G$14,12))+COUNTIFS(Suizo!$C$5:$C$10,INDEX($G$3:$G$14,12),Suizo!$H$5:$H$10,D20))=0),12,99)</f>
        <v>12</v>
      </c>
      <c r="AD20" s="10">
        <f t="shared" si="7"/>
        <v>99</v>
      </c>
      <c r="AE20" s="10">
        <f t="shared" si="8"/>
        <v>99</v>
      </c>
      <c r="AF20" s="10">
        <f t="shared" si="9"/>
        <v>99</v>
      </c>
      <c r="AG20" s="10">
        <f t="shared" si="10"/>
        <v>99</v>
      </c>
      <c r="AH20" s="10">
        <f t="shared" si="11"/>
        <v>99</v>
      </c>
      <c r="AI20" s="10">
        <f t="shared" si="12"/>
        <v>99</v>
      </c>
      <c r="AJ20" s="10">
        <f t="shared" si="13"/>
        <v>99</v>
      </c>
      <c r="AK20" s="10">
        <f t="shared" si="14"/>
        <v>8</v>
      </c>
      <c r="AL20" s="10">
        <f t="shared" si="15"/>
        <v>9</v>
      </c>
      <c r="AM20" s="10">
        <f t="shared" si="16"/>
        <v>10</v>
      </c>
      <c r="AN20" s="10">
        <f t="shared" si="17"/>
        <v>11</v>
      </c>
      <c r="AO20" s="10">
        <f t="shared" si="18"/>
        <v>12</v>
      </c>
      <c r="AP20" s="10" t="str">
        <f t="shared" si="19"/>
        <v/>
      </c>
    </row>
    <row r="21" ht="15.75" customHeight="1">
      <c r="A21" s="10">
        <v>5.0</v>
      </c>
      <c r="B21" s="10">
        <f t="shared" si="4"/>
        <v>9</v>
      </c>
      <c r="C21" s="10">
        <f t="shared" si="5"/>
        <v>10</v>
      </c>
      <c r="D21" s="10">
        <f t="shared" ref="D21:E21" si="34">INDEX($G$3:$G$14,B21)</f>
        <v>10</v>
      </c>
      <c r="E21" s="10">
        <f t="shared" si="34"/>
        <v>7</v>
      </c>
      <c r="F21" s="10">
        <f t="shared" si="21"/>
        <v>1</v>
      </c>
      <c r="G21" s="10">
        <f t="shared" si="22"/>
        <v>1</v>
      </c>
      <c r="H21" s="10">
        <f t="shared" si="23"/>
        <v>1</v>
      </c>
      <c r="I21" s="10">
        <f t="shared" si="24"/>
        <v>1</v>
      </c>
      <c r="J21" s="10">
        <f t="shared" si="25"/>
        <v>1</v>
      </c>
      <c r="K21" s="10">
        <f t="shared" si="26"/>
        <v>1</v>
      </c>
      <c r="L21" s="10">
        <f t="shared" si="27"/>
        <v>1</v>
      </c>
      <c r="M21" s="10">
        <f t="shared" si="28"/>
        <v>1</v>
      </c>
      <c r="N21" s="10">
        <f t="shared" si="29"/>
        <v>0</v>
      </c>
      <c r="O21" s="10">
        <f t="shared" si="30"/>
        <v>0</v>
      </c>
      <c r="P21" s="10">
        <f t="shared" si="31"/>
        <v>0</v>
      </c>
      <c r="Q21" s="10">
        <f t="shared" si="32"/>
        <v>0</v>
      </c>
      <c r="R21" s="10">
        <f t="array" ref="R21">IF(AND(F21=0,1&gt;B21,(COUNTIFS(Suizo!$C$5:$C$10,D21,Suizo!$H$5:$H$10,INDEX($G$3:$G$14,1))+COUNTIFS(Suizo!$C$5:$C$10,INDEX($G$3:$G$14,1),Suizo!$H$5:$H$10,D21))=0),1,99)</f>
        <v>99</v>
      </c>
      <c r="S21" s="10">
        <f t="array" ref="S21">IF(AND(G21=0,2&gt;B21,(COUNTIFS(Suizo!$C$5:$C$10,D21,Suizo!$H$5:$H$10,INDEX($G$3:$G$14,2))+COUNTIFS(Suizo!$C$5:$C$10,INDEX($G$3:$G$14,2),Suizo!$H$5:$H$10,D21))=0),2,99)</f>
        <v>99</v>
      </c>
      <c r="T21" s="10">
        <f t="array" ref="T21">IF(AND(H21=0,3&gt;B21,(COUNTIFS(Suizo!$C$5:$C$10,D21,Suizo!$H$5:$H$10,INDEX($G$3:$G$14,3))+COUNTIFS(Suizo!$C$5:$C$10,INDEX($G$3:$G$14,3),Suizo!$H$5:$H$10,D21))=0),3,99)</f>
        <v>99</v>
      </c>
      <c r="U21" s="10">
        <f t="array" ref="U21">IF(AND(I21=0,4&gt;B21,(COUNTIFS(Suizo!$C$5:$C$10,D21,Suizo!$H$5:$H$10,INDEX($G$3:$G$14,4))+COUNTIFS(Suizo!$C$5:$C$10,INDEX($G$3:$G$14,4),Suizo!$H$5:$H$10,D21))=0),4,99)</f>
        <v>99</v>
      </c>
      <c r="V21" s="10">
        <f t="array" ref="V21">IF(AND(J21=0,5&gt;B21,(COUNTIFS(Suizo!$C$5:$C$10,D21,Suizo!$H$5:$H$10,INDEX($G$3:$G$14,5))+COUNTIFS(Suizo!$C$5:$C$10,INDEX($G$3:$G$14,5),Suizo!$H$5:$H$10,D21))=0),5,99)</f>
        <v>99</v>
      </c>
      <c r="W21" s="10">
        <f t="array" ref="W21">IF(AND(K21=0,6&gt;B21,(COUNTIFS(Suizo!$C$5:$C$10,D21,Suizo!$H$5:$H$10,INDEX($G$3:$G$14,6))+COUNTIFS(Suizo!$C$5:$C$10,INDEX($G$3:$G$14,6),Suizo!$H$5:$H$10,D21))=0),6,99)</f>
        <v>99</v>
      </c>
      <c r="X21" s="10">
        <f t="array" ref="X21">IF(AND(L21=0,7&gt;B21,(COUNTIFS(Suizo!$C$5:$C$10,D21,Suizo!$H$5:$H$10,INDEX($G$3:$G$14,7))+COUNTIFS(Suizo!$C$5:$C$10,INDEX($G$3:$G$14,7),Suizo!$H$5:$H$10,D21))=0),7,99)</f>
        <v>99</v>
      </c>
      <c r="Y21" s="10">
        <f t="array" ref="Y21">IF(AND(M21=0,8&gt;B21,(COUNTIFS(Suizo!$C$5:$C$10,D21,Suizo!$H$5:$H$10,INDEX($G$3:$G$14,8))+COUNTIFS(Suizo!$C$5:$C$10,INDEX($G$3:$G$14,8),Suizo!$H$5:$H$10,D21))=0),8,99)</f>
        <v>99</v>
      </c>
      <c r="Z21" s="10">
        <f t="array" ref="Z21">IF(AND(N21=0,9&gt;B21,(COUNTIFS(Suizo!$C$5:$C$10,D21,Suizo!$H$5:$H$10,INDEX($G$3:$G$14,9))+COUNTIFS(Suizo!$C$5:$C$10,INDEX($G$3:$G$14,9),Suizo!$H$5:$H$10,D21))=0),9,99)</f>
        <v>99</v>
      </c>
      <c r="AA21" s="10">
        <f t="array" ref="AA21">IF(AND(O21=0,10&gt;B21,(COUNTIFS(Suizo!$C$5:$C$10,D21,Suizo!$H$5:$H$10,INDEX($G$3:$G$14,10))+COUNTIFS(Suizo!$C$5:$C$10,INDEX($G$3:$G$14,10),Suizo!$H$5:$H$10,D21))=0),10,99)</f>
        <v>10</v>
      </c>
      <c r="AB21" s="10">
        <f t="array" ref="AB21">IF(AND(P21=0,11&gt;B21,(COUNTIFS(Suizo!$C$5:$C$10,D21,Suizo!$H$5:$H$10,INDEX($G$3:$G$14,11))+COUNTIFS(Suizo!$C$5:$C$10,INDEX($G$3:$G$14,11),Suizo!$H$5:$H$10,D21))=0),11,99)</f>
        <v>11</v>
      </c>
      <c r="AC21" s="10">
        <f t="array" ref="AC21">IF(AND(Q21=0,12&gt;B21,(COUNTIFS(Suizo!$C$5:$C$10,D21,Suizo!$H$5:$H$10,INDEX($G$3:$G$14,12))+COUNTIFS(Suizo!$C$5:$C$10,INDEX($G$3:$G$14,12),Suizo!$H$5:$H$10,D21))=0),12,99)</f>
        <v>12</v>
      </c>
      <c r="AD21" s="10">
        <f t="shared" si="7"/>
        <v>99</v>
      </c>
      <c r="AE21" s="10">
        <f t="shared" si="8"/>
        <v>99</v>
      </c>
      <c r="AF21" s="10">
        <f t="shared" si="9"/>
        <v>99</v>
      </c>
      <c r="AG21" s="10">
        <f t="shared" si="10"/>
        <v>99</v>
      </c>
      <c r="AH21" s="10">
        <f t="shared" si="11"/>
        <v>99</v>
      </c>
      <c r="AI21" s="10">
        <f t="shared" si="12"/>
        <v>99</v>
      </c>
      <c r="AJ21" s="10">
        <f t="shared" si="13"/>
        <v>99</v>
      </c>
      <c r="AK21" s="10">
        <f t="shared" si="14"/>
        <v>99</v>
      </c>
      <c r="AL21" s="10">
        <f t="shared" si="15"/>
        <v>99</v>
      </c>
      <c r="AM21" s="10">
        <f t="shared" si="16"/>
        <v>10</v>
      </c>
      <c r="AN21" s="10">
        <f t="shared" si="17"/>
        <v>11</v>
      </c>
      <c r="AO21" s="10">
        <f t="shared" si="18"/>
        <v>12</v>
      </c>
      <c r="AP21" s="10" t="str">
        <f t="shared" si="19"/>
        <v/>
      </c>
    </row>
    <row r="22" ht="15.75" customHeight="1">
      <c r="A22" s="10">
        <v>6.0</v>
      </c>
      <c r="B22" s="10">
        <f t="shared" si="4"/>
        <v>11</v>
      </c>
      <c r="C22" s="10">
        <f t="shared" si="5"/>
        <v>12</v>
      </c>
      <c r="D22" s="10">
        <f t="shared" ref="D22:E22" si="35">INDEX($G$3:$G$14,B22)</f>
        <v>11</v>
      </c>
      <c r="E22" s="10">
        <f t="shared" si="35"/>
        <v>6</v>
      </c>
      <c r="F22" s="10">
        <f t="shared" si="21"/>
        <v>1</v>
      </c>
      <c r="G22" s="10">
        <f t="shared" si="22"/>
        <v>1</v>
      </c>
      <c r="H22" s="10">
        <f t="shared" si="23"/>
        <v>1</v>
      </c>
      <c r="I22" s="10">
        <f t="shared" si="24"/>
        <v>1</v>
      </c>
      <c r="J22" s="10">
        <f t="shared" si="25"/>
        <v>1</v>
      </c>
      <c r="K22" s="10">
        <f t="shared" si="26"/>
        <v>1</v>
      </c>
      <c r="L22" s="10">
        <f t="shared" si="27"/>
        <v>1</v>
      </c>
      <c r="M22" s="10">
        <f t="shared" si="28"/>
        <v>1</v>
      </c>
      <c r="N22" s="10">
        <f t="shared" si="29"/>
        <v>1</v>
      </c>
      <c r="O22" s="10">
        <f t="shared" si="30"/>
        <v>1</v>
      </c>
      <c r="P22" s="10">
        <f t="shared" si="31"/>
        <v>0</v>
      </c>
      <c r="Q22" s="10">
        <f t="shared" si="32"/>
        <v>0</v>
      </c>
      <c r="R22" s="10">
        <f t="array" ref="R22">IF(AND(F22=0,1&gt;B22,(COUNTIFS(Suizo!$C$5:$C$10,D22,Suizo!$H$5:$H$10,INDEX($G$3:$G$14,1))+COUNTIFS(Suizo!$C$5:$C$10,INDEX($G$3:$G$14,1),Suizo!$H$5:$H$10,D22))=0),1,99)</f>
        <v>99</v>
      </c>
      <c r="S22" s="10">
        <f t="array" ref="S22">IF(AND(G22=0,2&gt;B22,(COUNTIFS(Suizo!$C$5:$C$10,D22,Suizo!$H$5:$H$10,INDEX($G$3:$G$14,2))+COUNTIFS(Suizo!$C$5:$C$10,INDEX($G$3:$G$14,2),Suizo!$H$5:$H$10,D22))=0),2,99)</f>
        <v>99</v>
      </c>
      <c r="T22" s="10">
        <f t="array" ref="T22">IF(AND(H22=0,3&gt;B22,(COUNTIFS(Suizo!$C$5:$C$10,D22,Suizo!$H$5:$H$10,INDEX($G$3:$G$14,3))+COUNTIFS(Suizo!$C$5:$C$10,INDEX($G$3:$G$14,3),Suizo!$H$5:$H$10,D22))=0),3,99)</f>
        <v>99</v>
      </c>
      <c r="U22" s="10">
        <f t="array" ref="U22">IF(AND(I22=0,4&gt;B22,(COUNTIFS(Suizo!$C$5:$C$10,D22,Suizo!$H$5:$H$10,INDEX($G$3:$G$14,4))+COUNTIFS(Suizo!$C$5:$C$10,INDEX($G$3:$G$14,4),Suizo!$H$5:$H$10,D22))=0),4,99)</f>
        <v>99</v>
      </c>
      <c r="V22" s="10">
        <f t="array" ref="V22">IF(AND(J22=0,5&gt;B22,(COUNTIFS(Suizo!$C$5:$C$10,D22,Suizo!$H$5:$H$10,INDEX($G$3:$G$14,5))+COUNTIFS(Suizo!$C$5:$C$10,INDEX($G$3:$G$14,5),Suizo!$H$5:$H$10,D22))=0),5,99)</f>
        <v>99</v>
      </c>
      <c r="W22" s="10">
        <f t="array" ref="W22">IF(AND(K22=0,6&gt;B22,(COUNTIFS(Suizo!$C$5:$C$10,D22,Suizo!$H$5:$H$10,INDEX($G$3:$G$14,6))+COUNTIFS(Suizo!$C$5:$C$10,INDEX($G$3:$G$14,6),Suizo!$H$5:$H$10,D22))=0),6,99)</f>
        <v>99</v>
      </c>
      <c r="X22" s="10">
        <f t="array" ref="X22">IF(AND(L22=0,7&gt;B22,(COUNTIFS(Suizo!$C$5:$C$10,D22,Suizo!$H$5:$H$10,INDEX($G$3:$G$14,7))+COUNTIFS(Suizo!$C$5:$C$10,INDEX($G$3:$G$14,7),Suizo!$H$5:$H$10,D22))=0),7,99)</f>
        <v>99</v>
      </c>
      <c r="Y22" s="10">
        <f t="array" ref="Y22">IF(AND(M22=0,8&gt;B22,(COUNTIFS(Suizo!$C$5:$C$10,D22,Suizo!$H$5:$H$10,INDEX($G$3:$G$14,8))+COUNTIFS(Suizo!$C$5:$C$10,INDEX($G$3:$G$14,8),Suizo!$H$5:$H$10,D22))=0),8,99)</f>
        <v>99</v>
      </c>
      <c r="Z22" s="10">
        <f t="array" ref="Z22">IF(AND(N22=0,9&gt;B22,(COUNTIFS(Suizo!$C$5:$C$10,D22,Suizo!$H$5:$H$10,INDEX($G$3:$G$14,9))+COUNTIFS(Suizo!$C$5:$C$10,INDEX($G$3:$G$14,9),Suizo!$H$5:$H$10,D22))=0),9,99)</f>
        <v>99</v>
      </c>
      <c r="AA22" s="10">
        <f t="array" ref="AA22">IF(AND(O22=0,10&gt;B22,(COUNTIFS(Suizo!$C$5:$C$10,D22,Suizo!$H$5:$H$10,INDEX($G$3:$G$14,10))+COUNTIFS(Suizo!$C$5:$C$10,INDEX($G$3:$G$14,10),Suizo!$H$5:$H$10,D22))=0),10,99)</f>
        <v>99</v>
      </c>
      <c r="AB22" s="10">
        <f t="array" ref="AB22">IF(AND(P22=0,11&gt;B22,(COUNTIFS(Suizo!$C$5:$C$10,D22,Suizo!$H$5:$H$10,INDEX($G$3:$G$14,11))+COUNTIFS(Suizo!$C$5:$C$10,INDEX($G$3:$G$14,11),Suizo!$H$5:$H$10,D22))=0),11,99)</f>
        <v>99</v>
      </c>
      <c r="AC22" s="10">
        <f t="array" ref="AC22">IF(AND(Q22=0,12&gt;B22,(COUNTIFS(Suizo!$C$5:$C$10,D22,Suizo!$H$5:$H$10,INDEX($G$3:$G$14,12))+COUNTIFS(Suizo!$C$5:$C$10,INDEX($G$3:$G$14,12),Suizo!$H$5:$H$10,D22))=0),12,99)</f>
        <v>12</v>
      </c>
      <c r="AD22" s="10">
        <f t="shared" si="7"/>
        <v>99</v>
      </c>
      <c r="AE22" s="10">
        <f t="shared" si="8"/>
        <v>99</v>
      </c>
      <c r="AF22" s="10">
        <f t="shared" si="9"/>
        <v>99</v>
      </c>
      <c r="AG22" s="10">
        <f t="shared" si="10"/>
        <v>99</v>
      </c>
      <c r="AH22" s="10">
        <f t="shared" si="11"/>
        <v>99</v>
      </c>
      <c r="AI22" s="10">
        <f t="shared" si="12"/>
        <v>99</v>
      </c>
      <c r="AJ22" s="10">
        <f t="shared" si="13"/>
        <v>99</v>
      </c>
      <c r="AK22" s="10">
        <f t="shared" si="14"/>
        <v>99</v>
      </c>
      <c r="AL22" s="10">
        <f t="shared" si="15"/>
        <v>99</v>
      </c>
      <c r="AM22" s="10">
        <f t="shared" si="16"/>
        <v>99</v>
      </c>
      <c r="AN22" s="10">
        <f t="shared" si="17"/>
        <v>99</v>
      </c>
      <c r="AO22" s="10">
        <f t="shared" si="18"/>
        <v>12</v>
      </c>
      <c r="AP22" s="10" t="str">
        <f t="shared" si="19"/>
        <v/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A30" s="10" t="s">
        <v>107</v>
      </c>
      <c r="C30" s="10" t="s">
        <v>59</v>
      </c>
      <c r="D30" s="10">
        <f>IF(COUNTIF(Suizo!$K$5:$K$16,"&gt;0")=12,1,0)</f>
        <v>1</v>
      </c>
    </row>
    <row r="31" ht="15.75" customHeight="1">
      <c r="A31" s="10" t="s">
        <v>2</v>
      </c>
      <c r="B31" s="10" t="s">
        <v>12</v>
      </c>
      <c r="C31" s="10" t="s">
        <v>22</v>
      </c>
      <c r="D31" s="10" t="s">
        <v>16</v>
      </c>
      <c r="E31" s="10" t="s">
        <v>69</v>
      </c>
      <c r="F31" s="10" t="s">
        <v>70</v>
      </c>
      <c r="G31" s="10" t="s">
        <v>71</v>
      </c>
    </row>
    <row r="32" ht="15.75" customHeight="1">
      <c r="A32" s="10">
        <v>1.0</v>
      </c>
      <c r="B32" s="10">
        <f>COUNTIF(Suizo!$K$5:$K$16,A32)</f>
        <v>2</v>
      </c>
      <c r="C32" s="10">
        <f>(SUMIFS(Suizo!$E$5:$E$16,Suizo!$C$5:$C$16,A32,Suizo!$K$5:$K$16,"&gt;0")+SUMIFS(Suizo!$F$5:$F$16,Suizo!$H$5:$H$16,A32,Suizo!$K$5:$K$16,"&gt;0"))-(SUMIFS(Suizo!$F$5:$F$16,Suizo!$C$5:$C$16,A32,Suizo!$K$5:$K$16,"&gt;0")+SUMIFS(Suizo!$E$5:$E$16,Suizo!$H$5:$H$16,A32,Suizo!$K$5:$K$16,"&gt;0"))</f>
        <v>13</v>
      </c>
      <c r="D32" s="10">
        <f>(SUMIFS(Suizo!$E$5:$E$16,Suizo!$C$5:$C$16,A32,Suizo!$K$5:$K$16,"&gt;0")+SUMIFS(Suizo!$F$5:$F$16,Suizo!$H$5:$H$16,A32,Suizo!$K$5:$K$16,"&gt;0"))</f>
        <v>18</v>
      </c>
      <c r="E32" s="10">
        <f t="shared" ref="E32:E43" si="36">B32*100000000+(C32+500)*100000+D32*100-A32</f>
        <v>251301799</v>
      </c>
      <c r="F32" s="10">
        <v>1.0</v>
      </c>
      <c r="G32" s="10">
        <f t="shared" ref="G32:G43" si="37">INDEX($A$32:$A$43,MATCH(LARGE($E$32:$E$43,F32),$E$32:$E$43,0))</f>
        <v>1</v>
      </c>
    </row>
    <row r="33" ht="15.75" customHeight="1">
      <c r="A33" s="10">
        <v>2.0</v>
      </c>
      <c r="B33" s="10">
        <f>COUNTIF(Suizo!$K$5:$K$16,A33)</f>
        <v>1</v>
      </c>
      <c r="C33" s="10">
        <f>(SUMIFS(Suizo!$E$5:$E$16,Suizo!$C$5:$C$16,A33,Suizo!$K$5:$K$16,"&gt;0")+SUMIFS(Suizo!$F$5:$F$16,Suizo!$H$5:$H$16,A33,Suizo!$K$5:$K$16,"&gt;0"))-(SUMIFS(Suizo!$F$5:$F$16,Suizo!$C$5:$C$16,A33,Suizo!$K$5:$K$16,"&gt;0")+SUMIFS(Suizo!$E$5:$E$16,Suizo!$H$5:$H$16,A33,Suizo!$K$5:$K$16,"&gt;0"))</f>
        <v>2</v>
      </c>
      <c r="D33" s="10">
        <f>(SUMIFS(Suizo!$E$5:$E$16,Suizo!$C$5:$C$16,A33,Suizo!$K$5:$K$16,"&gt;0")+SUMIFS(Suizo!$F$5:$F$16,Suizo!$H$5:$H$16,A33,Suizo!$K$5:$K$16,"&gt;0"))</f>
        <v>12</v>
      </c>
      <c r="E33" s="10">
        <f t="shared" si="36"/>
        <v>150201198</v>
      </c>
      <c r="F33" s="10">
        <v>2.0</v>
      </c>
      <c r="G33" s="10">
        <f t="shared" si="37"/>
        <v>5</v>
      </c>
    </row>
    <row r="34" ht="15.75" customHeight="1">
      <c r="A34" s="10">
        <v>3.0</v>
      </c>
      <c r="B34" s="10">
        <f>COUNTIF(Suizo!$K$5:$K$16,A34)</f>
        <v>1</v>
      </c>
      <c r="C34" s="10">
        <f>(SUMIFS(Suizo!$E$5:$E$16,Suizo!$C$5:$C$16,A34,Suizo!$K$5:$K$16,"&gt;0")+SUMIFS(Suizo!$F$5:$F$16,Suizo!$H$5:$H$16,A34,Suizo!$K$5:$K$16,"&gt;0"))-(SUMIFS(Suizo!$F$5:$F$16,Suizo!$C$5:$C$16,A34,Suizo!$K$5:$K$16,"&gt;0")+SUMIFS(Suizo!$E$5:$E$16,Suizo!$H$5:$H$16,A34,Suizo!$K$5:$K$16,"&gt;0"))</f>
        <v>5</v>
      </c>
      <c r="D34" s="10">
        <f>(SUMIFS(Suizo!$E$5:$E$16,Suizo!$C$5:$C$16,A34,Suizo!$K$5:$K$16,"&gt;0")+SUMIFS(Suizo!$F$5:$F$16,Suizo!$H$5:$H$16,A34,Suizo!$K$5:$K$16,"&gt;0"))</f>
        <v>16</v>
      </c>
      <c r="E34" s="10">
        <f t="shared" si="36"/>
        <v>150501597</v>
      </c>
      <c r="F34" s="10">
        <v>3.0</v>
      </c>
      <c r="G34" s="10">
        <f t="shared" si="37"/>
        <v>9</v>
      </c>
    </row>
    <row r="35" ht="15.75" customHeight="1">
      <c r="A35" s="10">
        <v>4.0</v>
      </c>
      <c r="B35" s="10">
        <f>COUNTIF(Suizo!$K$5:$K$16,A35)</f>
        <v>1</v>
      </c>
      <c r="C35" s="10">
        <f>(SUMIFS(Suizo!$E$5:$E$16,Suizo!$C$5:$C$16,A35,Suizo!$K$5:$K$16,"&gt;0")+SUMIFS(Suizo!$F$5:$F$16,Suizo!$H$5:$H$16,A35,Suizo!$K$5:$K$16,"&gt;0"))-(SUMIFS(Suizo!$F$5:$F$16,Suizo!$C$5:$C$16,A35,Suizo!$K$5:$K$16,"&gt;0")+SUMIFS(Suizo!$E$5:$E$16,Suizo!$H$5:$H$16,A35,Suizo!$K$5:$K$16,"&gt;0"))</f>
        <v>-6</v>
      </c>
      <c r="D35" s="10">
        <f>(SUMIFS(Suizo!$E$5:$E$16,Suizo!$C$5:$C$16,A35,Suizo!$K$5:$K$16,"&gt;0")+SUMIFS(Suizo!$F$5:$F$16,Suizo!$H$5:$H$16,A35,Suizo!$K$5:$K$16,"&gt;0"))</f>
        <v>10</v>
      </c>
      <c r="E35" s="10">
        <f t="shared" si="36"/>
        <v>149400996</v>
      </c>
      <c r="F35" s="10">
        <v>4.0</v>
      </c>
      <c r="G35" s="10">
        <f t="shared" si="37"/>
        <v>3</v>
      </c>
    </row>
    <row r="36" ht="15.75" customHeight="1">
      <c r="A36" s="10">
        <v>5.0</v>
      </c>
      <c r="B36" s="10">
        <f>COUNTIF(Suizo!$K$5:$K$16,A36)</f>
        <v>2</v>
      </c>
      <c r="C36" s="10">
        <f>(SUMIFS(Suizo!$E$5:$E$16,Suizo!$C$5:$C$16,A36,Suizo!$K$5:$K$16,"&gt;0")+SUMIFS(Suizo!$F$5:$F$16,Suizo!$H$5:$H$16,A36,Suizo!$K$5:$K$16,"&gt;0"))-(SUMIFS(Suizo!$F$5:$F$16,Suizo!$C$5:$C$16,A36,Suizo!$K$5:$K$16,"&gt;0")+SUMIFS(Suizo!$E$5:$E$16,Suizo!$H$5:$H$16,A36,Suizo!$K$5:$K$16,"&gt;0"))</f>
        <v>12</v>
      </c>
      <c r="D36" s="10">
        <f>(SUMIFS(Suizo!$E$5:$E$16,Suizo!$C$5:$C$16,A36,Suizo!$K$5:$K$16,"&gt;0")+SUMIFS(Suizo!$F$5:$F$16,Suizo!$H$5:$H$16,A36,Suizo!$K$5:$K$16,"&gt;0"))</f>
        <v>18</v>
      </c>
      <c r="E36" s="10">
        <f t="shared" si="36"/>
        <v>251201795</v>
      </c>
      <c r="F36" s="10">
        <v>5.0</v>
      </c>
      <c r="G36" s="10">
        <f t="shared" si="37"/>
        <v>2</v>
      </c>
    </row>
    <row r="37" ht="15.75" customHeight="1">
      <c r="A37" s="10">
        <v>6.0</v>
      </c>
      <c r="B37" s="10">
        <f>COUNTIF(Suizo!$K$5:$K$16,A37)</f>
        <v>0</v>
      </c>
      <c r="C37" s="10">
        <f>(SUMIFS(Suizo!$E$5:$E$16,Suizo!$C$5:$C$16,A37,Suizo!$K$5:$K$16,"&gt;0")+SUMIFS(Suizo!$F$5:$F$16,Suizo!$H$5:$H$16,A37,Suizo!$K$5:$K$16,"&gt;0"))-(SUMIFS(Suizo!$F$5:$F$16,Suizo!$C$5:$C$16,A37,Suizo!$K$5:$K$16,"&gt;0")+SUMIFS(Suizo!$E$5:$E$16,Suizo!$H$5:$H$16,A37,Suizo!$K$5:$K$16,"&gt;0"))</f>
        <v>-10</v>
      </c>
      <c r="D37" s="10">
        <f>(SUMIFS(Suizo!$E$5:$E$16,Suizo!$C$5:$C$16,A37,Suizo!$K$5:$K$16,"&gt;0")+SUMIFS(Suizo!$F$5:$F$16,Suizo!$H$5:$H$16,A37,Suizo!$K$5:$K$16,"&gt;0"))</f>
        <v>8</v>
      </c>
      <c r="E37" s="10">
        <f t="shared" si="36"/>
        <v>49000794</v>
      </c>
      <c r="F37" s="10">
        <v>6.0</v>
      </c>
      <c r="G37" s="10">
        <f t="shared" si="37"/>
        <v>7</v>
      </c>
    </row>
    <row r="38" ht="15.75" customHeight="1">
      <c r="A38" s="10">
        <v>7.0</v>
      </c>
      <c r="B38" s="10">
        <f>COUNTIF(Suizo!$K$5:$K$16,A38)</f>
        <v>1</v>
      </c>
      <c r="C38" s="10">
        <f>(SUMIFS(Suizo!$E$5:$E$16,Suizo!$C$5:$C$16,A38,Suizo!$K$5:$K$16,"&gt;0")+SUMIFS(Suizo!$F$5:$F$16,Suizo!$H$5:$H$16,A38,Suizo!$K$5:$K$16,"&gt;0"))-(SUMIFS(Suizo!$F$5:$F$16,Suizo!$C$5:$C$16,A38,Suizo!$K$5:$K$16,"&gt;0")+SUMIFS(Suizo!$E$5:$E$16,Suizo!$H$5:$H$16,A38,Suizo!$K$5:$K$16,"&gt;0"))</f>
        <v>-1</v>
      </c>
      <c r="D38" s="10">
        <f>(SUMIFS(Suizo!$E$5:$E$16,Suizo!$C$5:$C$16,A38,Suizo!$K$5:$K$16,"&gt;0")+SUMIFS(Suizo!$F$5:$F$16,Suizo!$H$5:$H$16,A38,Suizo!$K$5:$K$16,"&gt;0"))</f>
        <v>13</v>
      </c>
      <c r="E38" s="10">
        <f t="shared" si="36"/>
        <v>149901293</v>
      </c>
      <c r="F38" s="10">
        <v>7.0</v>
      </c>
      <c r="G38" s="10">
        <f t="shared" si="37"/>
        <v>11</v>
      </c>
    </row>
    <row r="39" ht="15.75" customHeight="1">
      <c r="A39" s="10">
        <v>8.0</v>
      </c>
      <c r="B39" s="10">
        <f>COUNTIF(Suizo!$K$5:$K$16,A39)</f>
        <v>0</v>
      </c>
      <c r="C39" s="10">
        <f>(SUMIFS(Suizo!$E$5:$E$16,Suizo!$C$5:$C$16,A39,Suizo!$K$5:$K$16,"&gt;0")+SUMIFS(Suizo!$F$5:$F$16,Suizo!$H$5:$H$16,A39,Suizo!$K$5:$K$16,"&gt;0"))-(SUMIFS(Suizo!$F$5:$F$16,Suizo!$C$5:$C$16,A39,Suizo!$K$5:$K$16,"&gt;0")+SUMIFS(Suizo!$E$5:$E$16,Suizo!$H$5:$H$16,A39,Suizo!$K$5:$K$16,"&gt;0"))</f>
        <v>-9</v>
      </c>
      <c r="D39" s="10">
        <f>(SUMIFS(Suizo!$E$5:$E$16,Suizo!$C$5:$C$16,A39,Suizo!$K$5:$K$16,"&gt;0")+SUMIFS(Suizo!$F$5:$F$16,Suizo!$H$5:$H$16,A39,Suizo!$K$5:$K$16,"&gt;0"))</f>
        <v>9</v>
      </c>
      <c r="E39" s="10">
        <f t="shared" si="36"/>
        <v>49100892</v>
      </c>
      <c r="F39" s="10">
        <v>8.0</v>
      </c>
      <c r="G39" s="10">
        <f t="shared" si="37"/>
        <v>4</v>
      </c>
    </row>
    <row r="40" ht="15.75" customHeight="1">
      <c r="A40" s="10">
        <v>9.0</v>
      </c>
      <c r="B40" s="10">
        <f>COUNTIF(Suizo!$K$5:$K$16,A40)</f>
        <v>2</v>
      </c>
      <c r="C40" s="10">
        <f>(SUMIFS(Suizo!$E$5:$E$16,Suizo!$C$5:$C$16,A40,Suizo!$K$5:$K$16,"&gt;0")+SUMIFS(Suizo!$F$5:$F$16,Suizo!$H$5:$H$16,A40,Suizo!$K$5:$K$16,"&gt;0"))-(SUMIFS(Suizo!$F$5:$F$16,Suizo!$C$5:$C$16,A40,Suizo!$K$5:$K$16,"&gt;0")+SUMIFS(Suizo!$E$5:$E$16,Suizo!$H$5:$H$16,A40,Suizo!$K$5:$K$16,"&gt;0"))</f>
        <v>11</v>
      </c>
      <c r="D40" s="10">
        <f>(SUMIFS(Suizo!$E$5:$E$16,Suizo!$C$5:$C$16,A40,Suizo!$K$5:$K$16,"&gt;0")+SUMIFS(Suizo!$F$5:$F$16,Suizo!$H$5:$H$16,A40,Suizo!$K$5:$K$16,"&gt;0"))</f>
        <v>18</v>
      </c>
      <c r="E40" s="10">
        <f t="shared" si="36"/>
        <v>251101791</v>
      </c>
      <c r="F40" s="10">
        <v>9.0</v>
      </c>
      <c r="G40" s="10">
        <f t="shared" si="37"/>
        <v>12</v>
      </c>
    </row>
    <row r="41" ht="15.75" customHeight="1">
      <c r="A41" s="10">
        <v>10.0</v>
      </c>
      <c r="B41" s="10">
        <f>COUNTIF(Suizo!$K$5:$K$16,A41)</f>
        <v>0</v>
      </c>
      <c r="C41" s="10">
        <f>(SUMIFS(Suizo!$E$5:$E$16,Suizo!$C$5:$C$16,A41,Suizo!$K$5:$K$16,"&gt;0")+SUMIFS(Suizo!$F$5:$F$16,Suizo!$H$5:$H$16,A41,Suizo!$K$5:$K$16,"&gt;0"))-(SUMIFS(Suizo!$F$5:$F$16,Suizo!$C$5:$C$16,A41,Suizo!$K$5:$K$16,"&gt;0")+SUMIFS(Suizo!$E$5:$E$16,Suizo!$H$5:$H$16,A41,Suizo!$K$5:$K$16,"&gt;0"))</f>
        <v>-6</v>
      </c>
      <c r="D41" s="10">
        <f>(SUMIFS(Suizo!$E$5:$E$16,Suizo!$C$5:$C$16,A41,Suizo!$K$5:$K$16,"&gt;0")+SUMIFS(Suizo!$F$5:$F$16,Suizo!$H$5:$H$16,A41,Suizo!$K$5:$K$16,"&gt;0"))</f>
        <v>12</v>
      </c>
      <c r="E41" s="10">
        <f t="shared" si="36"/>
        <v>49401190</v>
      </c>
      <c r="F41" s="10">
        <v>10.0</v>
      </c>
      <c r="G41" s="10">
        <f t="shared" si="37"/>
        <v>10</v>
      </c>
    </row>
    <row r="42" ht="15.75" customHeight="1">
      <c r="A42" s="10">
        <v>11.0</v>
      </c>
      <c r="B42" s="10">
        <f>COUNTIF(Suizo!$K$5:$K$16,A42)</f>
        <v>1</v>
      </c>
      <c r="C42" s="10">
        <f>(SUMIFS(Suizo!$E$5:$E$16,Suizo!$C$5:$C$16,A42,Suizo!$K$5:$K$16,"&gt;0")+SUMIFS(Suizo!$F$5:$F$16,Suizo!$H$5:$H$16,A42,Suizo!$K$5:$K$16,"&gt;0"))-(SUMIFS(Suizo!$F$5:$F$16,Suizo!$C$5:$C$16,A42,Suizo!$K$5:$K$16,"&gt;0")+SUMIFS(Suizo!$E$5:$E$16,Suizo!$H$5:$H$16,A42,Suizo!$K$5:$K$16,"&gt;0"))</f>
        <v>-4</v>
      </c>
      <c r="D42" s="10">
        <f>(SUMIFS(Suizo!$E$5:$E$16,Suizo!$C$5:$C$16,A42,Suizo!$K$5:$K$16,"&gt;0")+SUMIFS(Suizo!$F$5:$F$16,Suizo!$H$5:$H$16,A42,Suizo!$K$5:$K$16,"&gt;0"))</f>
        <v>12</v>
      </c>
      <c r="E42" s="10">
        <f t="shared" si="36"/>
        <v>149601189</v>
      </c>
      <c r="F42" s="10">
        <v>11.0</v>
      </c>
      <c r="G42" s="10">
        <f t="shared" si="37"/>
        <v>8</v>
      </c>
    </row>
    <row r="43" ht="15.75" customHeight="1">
      <c r="A43" s="10">
        <v>12.0</v>
      </c>
      <c r="B43" s="10">
        <f>COUNTIF(Suizo!$K$5:$K$16,A43)</f>
        <v>1</v>
      </c>
      <c r="C43" s="10">
        <f>(SUMIFS(Suizo!$E$5:$E$16,Suizo!$C$5:$C$16,A43,Suizo!$K$5:$K$16,"&gt;0")+SUMIFS(Suizo!$F$5:$F$16,Suizo!$H$5:$H$16,A43,Suizo!$K$5:$K$16,"&gt;0"))-(SUMIFS(Suizo!$F$5:$F$16,Suizo!$C$5:$C$16,A43,Suizo!$K$5:$K$16,"&gt;0")+SUMIFS(Suizo!$E$5:$E$16,Suizo!$H$5:$H$16,A43,Suizo!$K$5:$K$16,"&gt;0"))</f>
        <v>-7</v>
      </c>
      <c r="D43" s="10">
        <f>(SUMIFS(Suizo!$E$5:$E$16,Suizo!$C$5:$C$16,A43,Suizo!$K$5:$K$16,"&gt;0")+SUMIFS(Suizo!$F$5:$F$16,Suizo!$H$5:$H$16,A43,Suizo!$K$5:$K$16,"&gt;0"))</f>
        <v>9</v>
      </c>
      <c r="E43" s="10">
        <f t="shared" si="36"/>
        <v>149300888</v>
      </c>
      <c r="F43" s="10">
        <v>12.0</v>
      </c>
      <c r="G43" s="10">
        <f t="shared" si="37"/>
        <v>6</v>
      </c>
    </row>
    <row r="44" ht="15.75" customHeight="1"/>
    <row r="45" ht="15.75" customHeight="1">
      <c r="A45" s="10" t="s">
        <v>82</v>
      </c>
      <c r="B45" s="10" t="s">
        <v>83</v>
      </c>
      <c r="C45" s="10" t="s">
        <v>84</v>
      </c>
      <c r="D45" s="10" t="s">
        <v>13</v>
      </c>
      <c r="E45" s="10" t="s">
        <v>25</v>
      </c>
    </row>
    <row r="46" ht="15.75" customHeight="1">
      <c r="A46" s="10">
        <v>1.0</v>
      </c>
      <c r="B46" s="10">
        <f t="shared" ref="B46:B51" si="39">MATCH(0,F46:Q46,0)</f>
        <v>1</v>
      </c>
      <c r="C46" s="10">
        <f t="shared" ref="C46:C51" si="40">IF(MIN(R46:AC46)&lt;99,MIN(R46:AC46),MIN(AD46:AO46))</f>
        <v>2</v>
      </c>
      <c r="D46" s="10">
        <f t="shared" ref="D46:E46" si="38">INDEX($G$32:$G$43,B46)</f>
        <v>1</v>
      </c>
      <c r="E46" s="10">
        <f t="shared" si="38"/>
        <v>5</v>
      </c>
      <c r="F46" s="10">
        <v>0.0</v>
      </c>
      <c r="G46" s="10">
        <v>0.0</v>
      </c>
      <c r="H46" s="10">
        <v>0.0</v>
      </c>
      <c r="I46" s="10">
        <v>0.0</v>
      </c>
      <c r="J46" s="10">
        <v>0.0</v>
      </c>
      <c r="K46" s="10">
        <v>0.0</v>
      </c>
      <c r="L46" s="10">
        <v>0.0</v>
      </c>
      <c r="M46" s="10">
        <v>0.0</v>
      </c>
      <c r="N46" s="10">
        <v>0.0</v>
      </c>
      <c r="O46" s="10">
        <v>0.0</v>
      </c>
      <c r="P46" s="10">
        <v>0.0</v>
      </c>
      <c r="Q46" s="10">
        <v>0.0</v>
      </c>
      <c r="R46" s="10">
        <f t="array" ref="R46">IF(AND(F46=0,1&gt;B46,(COUNTIFS(Suizo!$C$5:$C$16,D46,Suizo!$H$5:$H$16,INDEX($G$32:$G$43,1))+COUNTIFS(Suizo!$C$5:$C$16,INDEX($G$32:$G$43,1),Suizo!$H$5:$H$16,D46))=0),1,99)</f>
        <v>99</v>
      </c>
      <c r="S46" s="10">
        <f t="array" ref="S46">IF(AND(G46=0,2&gt;B46,(COUNTIFS(Suizo!$C$5:$C$16,D46,Suizo!$H$5:$H$16,INDEX($G$32:$G$43,2))+COUNTIFS(Suizo!$C$5:$C$16,INDEX($G$32:$G$43,2),Suizo!$H$5:$H$16,D46))=0),2,99)</f>
        <v>2</v>
      </c>
      <c r="T46" s="10">
        <f t="array" ref="T46">IF(AND(H46=0,3&gt;B46,(COUNTIFS(Suizo!$C$5:$C$16,D46,Suizo!$H$5:$H$16,INDEX($G$32:$G$43,3))+COUNTIFS(Suizo!$C$5:$C$16,INDEX($G$32:$G$43,3),Suizo!$H$5:$H$16,D46))=0),3,99)</f>
        <v>3</v>
      </c>
      <c r="U46" s="10">
        <f t="array" ref="U46">IF(AND(I46=0,4&gt;B46,(COUNTIFS(Suizo!$C$5:$C$16,D46,Suizo!$H$5:$H$16,INDEX($G$32:$G$43,4))+COUNTIFS(Suizo!$C$5:$C$16,INDEX($G$32:$G$43,4),Suizo!$H$5:$H$16,D46))=0),4,99)</f>
        <v>4</v>
      </c>
      <c r="V46" s="10">
        <f t="array" ref="V46">IF(AND(J46=0,5&gt;B46,(COUNTIFS(Suizo!$C$5:$C$16,D46,Suizo!$H$5:$H$16,INDEX($G$32:$G$43,5))+COUNTIFS(Suizo!$C$5:$C$16,INDEX($G$32:$G$43,5),Suizo!$H$5:$H$16,D46))=0),5,99)</f>
        <v>5</v>
      </c>
      <c r="W46" s="10">
        <f t="array" ref="W46">IF(AND(K46=0,6&gt;B46,(COUNTIFS(Suizo!$C$5:$C$16,D46,Suizo!$H$5:$H$16,INDEX($G$32:$G$43,6))+COUNTIFS(Suizo!$C$5:$C$16,INDEX($G$32:$G$43,6),Suizo!$H$5:$H$16,D46))=0),6,99)</f>
        <v>99</v>
      </c>
      <c r="X46" s="10">
        <f t="array" ref="X46">IF(AND(L46=0,7&gt;B46,(COUNTIFS(Suizo!$C$5:$C$16,D46,Suizo!$H$5:$H$16,INDEX($G$32:$G$43,7))+COUNTIFS(Suizo!$C$5:$C$16,INDEX($G$32:$G$43,7),Suizo!$H$5:$H$16,D46))=0),7,99)</f>
        <v>7</v>
      </c>
      <c r="Y46" s="10">
        <f t="array" ref="Y46">IF(AND(M46=0,8&gt;B46,(COUNTIFS(Suizo!$C$5:$C$16,D46,Suizo!$H$5:$H$16,INDEX($G$32:$G$43,8))+COUNTIFS(Suizo!$C$5:$C$16,INDEX($G$32:$G$43,8),Suizo!$H$5:$H$16,D46))=0),8,99)</f>
        <v>99</v>
      </c>
      <c r="Z46" s="10">
        <f t="array" ref="Z46">IF(AND(N46=0,9&gt;B46,(COUNTIFS(Suizo!$C$5:$C$16,D46,Suizo!$H$5:$H$16,INDEX($G$32:$G$43,9))+COUNTIFS(Suizo!$C$5:$C$16,INDEX($G$32:$G$43,9),Suizo!$H$5:$H$16,D46))=0),9,99)</f>
        <v>9</v>
      </c>
      <c r="AA46" s="10">
        <f t="array" ref="AA46">IF(AND(O46=0,10&gt;B46,(COUNTIFS(Suizo!$C$5:$C$16,D46,Suizo!$H$5:$H$16,INDEX($G$32:$G$43,10))+COUNTIFS(Suizo!$C$5:$C$16,INDEX($G$32:$G$43,10),Suizo!$H$5:$H$16,D46))=0),10,99)</f>
        <v>10</v>
      </c>
      <c r="AB46" s="10">
        <f t="array" ref="AB46">IF(AND(P46=0,11&gt;B46,(COUNTIFS(Suizo!$C$5:$C$16,D46,Suizo!$H$5:$H$16,INDEX($G$32:$G$43,11))+COUNTIFS(Suizo!$C$5:$C$16,INDEX($G$32:$G$43,11),Suizo!$H$5:$H$16,D46))=0),11,99)</f>
        <v>11</v>
      </c>
      <c r="AC46" s="10">
        <f t="array" ref="AC46">IF(AND(Q46=0,12&gt;B46,(COUNTIFS(Suizo!$C$5:$C$16,D46,Suizo!$H$5:$H$16,INDEX($G$32:$G$43,12))+COUNTIFS(Suizo!$C$5:$C$16,INDEX($G$32:$G$43,12),Suizo!$H$5:$H$16,D46))=0),12,99)</f>
        <v>12</v>
      </c>
      <c r="AD46" s="10">
        <f t="shared" ref="AD46:AD51" si="42">IF(AND(F46=0,1&gt;B46),1,99)</f>
        <v>99</v>
      </c>
      <c r="AE46" s="10">
        <f t="shared" ref="AE46:AE51" si="43">IF(AND(G46=0,2&gt;B46),2,99)</f>
        <v>2</v>
      </c>
      <c r="AF46" s="10">
        <f t="shared" ref="AF46:AF51" si="44">IF(AND(H46=0,3&gt;B46),3,99)</f>
        <v>3</v>
      </c>
      <c r="AG46" s="10">
        <f t="shared" ref="AG46:AG51" si="45">IF(AND(I46=0,4&gt;B46),4,99)</f>
        <v>4</v>
      </c>
      <c r="AH46" s="10">
        <f t="shared" ref="AH46:AH51" si="46">IF(AND(J46=0,5&gt;B46),5,99)</f>
        <v>5</v>
      </c>
      <c r="AI46" s="10">
        <f t="shared" ref="AI46:AI51" si="47">IF(AND(K46=0,6&gt;B46),6,99)</f>
        <v>6</v>
      </c>
      <c r="AJ46" s="10">
        <f t="shared" ref="AJ46:AJ51" si="48">IF(AND(L46=0,7&gt;B46),7,99)</f>
        <v>7</v>
      </c>
      <c r="AK46" s="10">
        <f t="shared" ref="AK46:AK51" si="49">IF(AND(M46=0,8&gt;B46),8,99)</f>
        <v>8</v>
      </c>
      <c r="AL46" s="10">
        <f t="shared" ref="AL46:AL51" si="50">IF(AND(N46=0,9&gt;B46),9,99)</f>
        <v>9</v>
      </c>
      <c r="AM46" s="10">
        <f t="shared" ref="AM46:AM51" si="51">IF(AND(O46=0,10&gt;B46),10,99)</f>
        <v>10</v>
      </c>
      <c r="AN46" s="10">
        <f t="shared" ref="AN46:AN51" si="52">IF(AND(P46=0,11&gt;B46),11,99)</f>
        <v>11</v>
      </c>
      <c r="AO46" s="10">
        <f t="shared" ref="AO46:AO51" si="53">IF(AND(Q46=0,12&gt;B46),12,99)</f>
        <v>12</v>
      </c>
      <c r="AP46" s="10" t="str">
        <f t="shared" ref="AP46:AP51" si="54">IF(MIN(R46:AC46)=99,"REVANCHA","")</f>
        <v/>
      </c>
    </row>
    <row r="47" ht="15.75" customHeight="1">
      <c r="A47" s="10">
        <v>2.0</v>
      </c>
      <c r="B47" s="10">
        <f t="shared" si="39"/>
        <v>3</v>
      </c>
      <c r="C47" s="10">
        <f t="shared" si="40"/>
        <v>4</v>
      </c>
      <c r="D47" s="10">
        <f t="shared" ref="D47:E47" si="41">INDEX($G$32:$G$43,B47)</f>
        <v>9</v>
      </c>
      <c r="E47" s="10">
        <f t="shared" si="41"/>
        <v>3</v>
      </c>
      <c r="F47" s="10">
        <f t="shared" ref="F47:F51" si="56">IF(OR(F46=1,B46=1,C46=1),1,0)</f>
        <v>1</v>
      </c>
      <c r="G47" s="10">
        <f t="shared" ref="G47:G51" si="57">IF(OR(G46=1,B46=2,C46=2),1,0)</f>
        <v>1</v>
      </c>
      <c r="H47" s="10">
        <f t="shared" ref="H47:H51" si="58">IF(OR(H46=1,B46=3,C46=3),1,0)</f>
        <v>0</v>
      </c>
      <c r="I47" s="10">
        <f t="shared" ref="I47:I51" si="59">IF(OR(I46=1,B46=4,C46=4),1,0)</f>
        <v>0</v>
      </c>
      <c r="J47" s="10">
        <f t="shared" ref="J47:J51" si="60">IF(OR(J46=1,B46=5,C46=5),1,0)</f>
        <v>0</v>
      </c>
      <c r="K47" s="10">
        <f t="shared" ref="K47:K51" si="61">IF(OR(K46=1,B46=6,C46=6),1,0)</f>
        <v>0</v>
      </c>
      <c r="L47" s="10">
        <f t="shared" ref="L47:L51" si="62">IF(OR(L46=1,B46=7,C46=7),1,0)</f>
        <v>0</v>
      </c>
      <c r="M47" s="10">
        <f t="shared" ref="M47:M51" si="63">IF(OR(M46=1,B46=8,C46=8),1,0)</f>
        <v>0</v>
      </c>
      <c r="N47" s="10">
        <f t="shared" ref="N47:N51" si="64">IF(OR(N46=1,B46=9,C46=9),1,0)</f>
        <v>0</v>
      </c>
      <c r="O47" s="10">
        <f t="shared" ref="O47:O51" si="65">IF(OR(O46=1,B46=10,C46=10),1,0)</f>
        <v>0</v>
      </c>
      <c r="P47" s="10">
        <f t="shared" ref="P47:P51" si="66">IF(OR(P46=1,B46=11,C46=11),1,0)</f>
        <v>0</v>
      </c>
      <c r="Q47" s="10">
        <f t="shared" ref="Q47:Q51" si="67">IF(OR(Q46=1,B46=12,C46=12),1,0)</f>
        <v>0</v>
      </c>
      <c r="R47" s="10">
        <f t="array" ref="R47">IF(AND(F47=0,1&gt;B47,(COUNTIFS(Suizo!$C$5:$C$16,D47,Suizo!$H$5:$H$16,INDEX($G$32:$G$43,1))+COUNTIFS(Suizo!$C$5:$C$16,INDEX($G$32:$G$43,1),Suizo!$H$5:$H$16,D47))=0),1,99)</f>
        <v>99</v>
      </c>
      <c r="S47" s="10">
        <f t="array" ref="S47">IF(AND(G47=0,2&gt;B47,(COUNTIFS(Suizo!$C$5:$C$16,D47,Suizo!$H$5:$H$16,INDEX($G$32:$G$43,2))+COUNTIFS(Suizo!$C$5:$C$16,INDEX($G$32:$G$43,2),Suizo!$H$5:$H$16,D47))=0),2,99)</f>
        <v>99</v>
      </c>
      <c r="T47" s="10">
        <f t="array" ref="T47">IF(AND(H47=0,3&gt;B47,(COUNTIFS(Suizo!$C$5:$C$16,D47,Suizo!$H$5:$H$16,INDEX($G$32:$G$43,3))+COUNTIFS(Suizo!$C$5:$C$16,INDEX($G$32:$G$43,3),Suizo!$H$5:$H$16,D47))=0),3,99)</f>
        <v>99</v>
      </c>
      <c r="U47" s="10">
        <f t="array" ref="U47">IF(AND(I47=0,4&gt;B47,(COUNTIFS(Suizo!$C$5:$C$16,D47,Suizo!$H$5:$H$16,INDEX($G$32:$G$43,4))+COUNTIFS(Suizo!$C$5:$C$16,INDEX($G$32:$G$43,4),Suizo!$H$5:$H$16,D47))=0),4,99)</f>
        <v>4</v>
      </c>
      <c r="V47" s="10">
        <f t="array" ref="V47">IF(AND(J47=0,5&gt;B47,(COUNTIFS(Suizo!$C$5:$C$16,D47,Suizo!$H$5:$H$16,INDEX($G$32:$G$43,5))+COUNTIFS(Suizo!$C$5:$C$16,INDEX($G$32:$G$43,5),Suizo!$H$5:$H$16,D47))=0),5,99)</f>
        <v>5</v>
      </c>
      <c r="W47" s="10">
        <f t="array" ref="W47">IF(AND(K47=0,6&gt;B47,(COUNTIFS(Suizo!$C$5:$C$16,D47,Suizo!$H$5:$H$16,INDEX($G$32:$G$43,6))+COUNTIFS(Suizo!$C$5:$C$16,INDEX($G$32:$G$43,6),Suizo!$H$5:$H$16,D47))=0),6,99)</f>
        <v>6</v>
      </c>
      <c r="X47" s="10">
        <f t="array" ref="X47">IF(AND(L47=0,7&gt;B47,(COUNTIFS(Suizo!$C$5:$C$16,D47,Suizo!$H$5:$H$16,INDEX($G$32:$G$43,7))+COUNTIFS(Suizo!$C$5:$C$16,INDEX($G$32:$G$43,7),Suizo!$H$5:$H$16,D47))=0),7,99)</f>
        <v>7</v>
      </c>
      <c r="Y47" s="10">
        <f t="array" ref="Y47">IF(AND(M47=0,8&gt;B47,(COUNTIFS(Suizo!$C$5:$C$16,D47,Suizo!$H$5:$H$16,INDEX($G$32:$G$43,8))+COUNTIFS(Suizo!$C$5:$C$16,INDEX($G$32:$G$43,8),Suizo!$H$5:$H$16,D47))=0),8,99)</f>
        <v>8</v>
      </c>
      <c r="Z47" s="10">
        <f t="array" ref="Z47">IF(AND(N47=0,9&gt;B47,(COUNTIFS(Suizo!$C$5:$C$16,D47,Suizo!$H$5:$H$16,INDEX($G$32:$G$43,9))+COUNTIFS(Suizo!$C$5:$C$16,INDEX($G$32:$G$43,9),Suizo!$H$5:$H$16,D47))=0),9,99)</f>
        <v>99</v>
      </c>
      <c r="AA47" s="10">
        <f t="array" ref="AA47">IF(AND(O47=0,10&gt;B47,(COUNTIFS(Suizo!$C$5:$C$16,D47,Suizo!$H$5:$H$16,INDEX($G$32:$G$43,10))+COUNTIFS(Suizo!$C$5:$C$16,INDEX($G$32:$G$43,10),Suizo!$H$5:$H$16,D47))=0),10,99)</f>
        <v>99</v>
      </c>
      <c r="AB47" s="10">
        <f t="array" ref="AB47">IF(AND(P47=0,11&gt;B47,(COUNTIFS(Suizo!$C$5:$C$16,D47,Suizo!$H$5:$H$16,INDEX($G$32:$G$43,11))+COUNTIFS(Suizo!$C$5:$C$16,INDEX($G$32:$G$43,11),Suizo!$H$5:$H$16,D47))=0),11,99)</f>
        <v>11</v>
      </c>
      <c r="AC47" s="10">
        <f t="array" ref="AC47">IF(AND(Q47=0,12&gt;B47,(COUNTIFS(Suizo!$C$5:$C$16,D47,Suizo!$H$5:$H$16,INDEX($G$32:$G$43,12))+COUNTIFS(Suizo!$C$5:$C$16,INDEX($G$32:$G$43,12),Suizo!$H$5:$H$16,D47))=0),12,99)</f>
        <v>12</v>
      </c>
      <c r="AD47" s="10">
        <f t="shared" si="42"/>
        <v>99</v>
      </c>
      <c r="AE47" s="10">
        <f t="shared" si="43"/>
        <v>99</v>
      </c>
      <c r="AF47" s="10">
        <f t="shared" si="44"/>
        <v>99</v>
      </c>
      <c r="AG47" s="10">
        <f t="shared" si="45"/>
        <v>4</v>
      </c>
      <c r="AH47" s="10">
        <f t="shared" si="46"/>
        <v>5</v>
      </c>
      <c r="AI47" s="10">
        <f t="shared" si="47"/>
        <v>6</v>
      </c>
      <c r="AJ47" s="10">
        <f t="shared" si="48"/>
        <v>7</v>
      </c>
      <c r="AK47" s="10">
        <f t="shared" si="49"/>
        <v>8</v>
      </c>
      <c r="AL47" s="10">
        <f t="shared" si="50"/>
        <v>9</v>
      </c>
      <c r="AM47" s="10">
        <f t="shared" si="51"/>
        <v>10</v>
      </c>
      <c r="AN47" s="10">
        <f t="shared" si="52"/>
        <v>11</v>
      </c>
      <c r="AO47" s="10">
        <f t="shared" si="53"/>
        <v>12</v>
      </c>
      <c r="AP47" s="10" t="str">
        <f t="shared" si="54"/>
        <v/>
      </c>
    </row>
    <row r="48" ht="15.75" customHeight="1">
      <c r="A48" s="10">
        <v>3.0</v>
      </c>
      <c r="B48" s="10">
        <f t="shared" si="39"/>
        <v>5</v>
      </c>
      <c r="C48" s="10">
        <f t="shared" si="40"/>
        <v>6</v>
      </c>
      <c r="D48" s="10">
        <f t="shared" ref="D48:E48" si="55">INDEX($G$32:$G$43,B48)</f>
        <v>2</v>
      </c>
      <c r="E48" s="10">
        <f t="shared" si="55"/>
        <v>7</v>
      </c>
      <c r="F48" s="10">
        <f t="shared" si="56"/>
        <v>1</v>
      </c>
      <c r="G48" s="10">
        <f t="shared" si="57"/>
        <v>1</v>
      </c>
      <c r="H48" s="10">
        <f t="shared" si="58"/>
        <v>1</v>
      </c>
      <c r="I48" s="10">
        <f t="shared" si="59"/>
        <v>1</v>
      </c>
      <c r="J48" s="10">
        <f t="shared" si="60"/>
        <v>0</v>
      </c>
      <c r="K48" s="10">
        <f t="shared" si="61"/>
        <v>0</v>
      </c>
      <c r="L48" s="10">
        <f t="shared" si="62"/>
        <v>0</v>
      </c>
      <c r="M48" s="10">
        <f t="shared" si="63"/>
        <v>0</v>
      </c>
      <c r="N48" s="10">
        <f t="shared" si="64"/>
        <v>0</v>
      </c>
      <c r="O48" s="10">
        <f t="shared" si="65"/>
        <v>0</v>
      </c>
      <c r="P48" s="10">
        <f t="shared" si="66"/>
        <v>0</v>
      </c>
      <c r="Q48" s="10">
        <f t="shared" si="67"/>
        <v>0</v>
      </c>
      <c r="R48" s="10">
        <f t="array" ref="R48">IF(AND(F48=0,1&gt;B48,(COUNTIFS(Suizo!$C$5:$C$16,D48,Suizo!$H$5:$H$16,INDEX($G$32:$G$43,1))+COUNTIFS(Suizo!$C$5:$C$16,INDEX($G$32:$G$43,1),Suizo!$H$5:$H$16,D48))=0),1,99)</f>
        <v>99</v>
      </c>
      <c r="S48" s="10">
        <f t="array" ref="S48">IF(AND(G48=0,2&gt;B48,(COUNTIFS(Suizo!$C$5:$C$16,D48,Suizo!$H$5:$H$16,INDEX($G$32:$G$43,2))+COUNTIFS(Suizo!$C$5:$C$16,INDEX($G$32:$G$43,2),Suizo!$H$5:$H$16,D48))=0),2,99)</f>
        <v>99</v>
      </c>
      <c r="T48" s="10">
        <f t="array" ref="T48">IF(AND(H48=0,3&gt;B48,(COUNTIFS(Suizo!$C$5:$C$16,D48,Suizo!$H$5:$H$16,INDEX($G$32:$G$43,3))+COUNTIFS(Suizo!$C$5:$C$16,INDEX($G$32:$G$43,3),Suizo!$H$5:$H$16,D48))=0),3,99)</f>
        <v>99</v>
      </c>
      <c r="U48" s="10">
        <f t="array" ref="U48">IF(AND(I48=0,4&gt;B48,(COUNTIFS(Suizo!$C$5:$C$16,D48,Suizo!$H$5:$H$16,INDEX($G$32:$G$43,4))+COUNTIFS(Suizo!$C$5:$C$16,INDEX($G$32:$G$43,4),Suizo!$H$5:$H$16,D48))=0),4,99)</f>
        <v>99</v>
      </c>
      <c r="V48" s="10">
        <f t="array" ref="V48">IF(AND(J48=0,5&gt;B48,(COUNTIFS(Suizo!$C$5:$C$16,D48,Suizo!$H$5:$H$16,INDEX($G$32:$G$43,5))+COUNTIFS(Suizo!$C$5:$C$16,INDEX($G$32:$G$43,5),Suizo!$H$5:$H$16,D48))=0),5,99)</f>
        <v>99</v>
      </c>
      <c r="W48" s="10">
        <f t="array" ref="W48">IF(AND(K48=0,6&gt;B48,(COUNTIFS(Suizo!$C$5:$C$16,D48,Suizo!$H$5:$H$16,INDEX($G$32:$G$43,6))+COUNTIFS(Suizo!$C$5:$C$16,INDEX($G$32:$G$43,6),Suizo!$H$5:$H$16,D48))=0),6,99)</f>
        <v>6</v>
      </c>
      <c r="X48" s="10">
        <f t="array" ref="X48">IF(AND(L48=0,7&gt;B48,(COUNTIFS(Suizo!$C$5:$C$16,D48,Suizo!$H$5:$H$16,INDEX($G$32:$G$43,7))+COUNTIFS(Suizo!$C$5:$C$16,INDEX($G$32:$G$43,7),Suizo!$H$5:$H$16,D48))=0),7,99)</f>
        <v>7</v>
      </c>
      <c r="Y48" s="10">
        <f t="array" ref="Y48">IF(AND(M48=0,8&gt;B48,(COUNTIFS(Suizo!$C$5:$C$16,D48,Suizo!$H$5:$H$16,INDEX($G$32:$G$43,8))+COUNTIFS(Suizo!$C$5:$C$16,INDEX($G$32:$G$43,8),Suizo!$H$5:$H$16,D48))=0),8,99)</f>
        <v>8</v>
      </c>
      <c r="Z48" s="10">
        <f t="array" ref="Z48">IF(AND(N48=0,9&gt;B48,(COUNTIFS(Suizo!$C$5:$C$16,D48,Suizo!$H$5:$H$16,INDEX($G$32:$G$43,9))+COUNTIFS(Suizo!$C$5:$C$16,INDEX($G$32:$G$43,9),Suizo!$H$5:$H$16,D48))=0),9,99)</f>
        <v>9</v>
      </c>
      <c r="AA48" s="10">
        <f t="array" ref="AA48">IF(AND(O48=0,10&gt;B48,(COUNTIFS(Suizo!$C$5:$C$16,D48,Suizo!$H$5:$H$16,INDEX($G$32:$G$43,10))+COUNTIFS(Suizo!$C$5:$C$16,INDEX($G$32:$G$43,10),Suizo!$H$5:$H$16,D48))=0),10,99)</f>
        <v>10</v>
      </c>
      <c r="AB48" s="10">
        <f t="array" ref="AB48">IF(AND(P48=0,11&gt;B48,(COUNTIFS(Suizo!$C$5:$C$16,D48,Suizo!$H$5:$H$16,INDEX($G$32:$G$43,11))+COUNTIFS(Suizo!$C$5:$C$16,INDEX($G$32:$G$43,11),Suizo!$H$5:$H$16,D48))=0),11,99)</f>
        <v>11</v>
      </c>
      <c r="AC48" s="10">
        <f t="array" ref="AC48">IF(AND(Q48=0,12&gt;B48,(COUNTIFS(Suizo!$C$5:$C$16,D48,Suizo!$H$5:$H$16,INDEX($G$32:$G$43,12))+COUNTIFS(Suizo!$C$5:$C$16,INDEX($G$32:$G$43,12),Suizo!$H$5:$H$16,D48))=0),12,99)</f>
        <v>99</v>
      </c>
      <c r="AD48" s="10">
        <f t="shared" si="42"/>
        <v>99</v>
      </c>
      <c r="AE48" s="10">
        <f t="shared" si="43"/>
        <v>99</v>
      </c>
      <c r="AF48" s="10">
        <f t="shared" si="44"/>
        <v>99</v>
      </c>
      <c r="AG48" s="10">
        <f t="shared" si="45"/>
        <v>99</v>
      </c>
      <c r="AH48" s="10">
        <f t="shared" si="46"/>
        <v>99</v>
      </c>
      <c r="AI48" s="10">
        <f t="shared" si="47"/>
        <v>6</v>
      </c>
      <c r="AJ48" s="10">
        <f t="shared" si="48"/>
        <v>7</v>
      </c>
      <c r="AK48" s="10">
        <f t="shared" si="49"/>
        <v>8</v>
      </c>
      <c r="AL48" s="10">
        <f t="shared" si="50"/>
        <v>9</v>
      </c>
      <c r="AM48" s="10">
        <f t="shared" si="51"/>
        <v>10</v>
      </c>
      <c r="AN48" s="10">
        <f t="shared" si="52"/>
        <v>11</v>
      </c>
      <c r="AO48" s="10">
        <f t="shared" si="53"/>
        <v>12</v>
      </c>
      <c r="AP48" s="10" t="str">
        <f t="shared" si="54"/>
        <v/>
      </c>
    </row>
    <row r="49" ht="15.75" customHeight="1">
      <c r="A49" s="10">
        <v>4.0</v>
      </c>
      <c r="B49" s="10">
        <f t="shared" si="39"/>
        <v>7</v>
      </c>
      <c r="C49" s="10">
        <f t="shared" si="40"/>
        <v>8</v>
      </c>
      <c r="D49" s="10">
        <f t="shared" ref="D49:E49" si="68">INDEX($G$32:$G$43,B49)</f>
        <v>11</v>
      </c>
      <c r="E49" s="10">
        <f t="shared" si="68"/>
        <v>4</v>
      </c>
      <c r="F49" s="10">
        <f t="shared" si="56"/>
        <v>1</v>
      </c>
      <c r="G49" s="10">
        <f t="shared" si="57"/>
        <v>1</v>
      </c>
      <c r="H49" s="10">
        <f t="shared" si="58"/>
        <v>1</v>
      </c>
      <c r="I49" s="10">
        <f t="shared" si="59"/>
        <v>1</v>
      </c>
      <c r="J49" s="10">
        <f t="shared" si="60"/>
        <v>1</v>
      </c>
      <c r="K49" s="10">
        <f t="shared" si="61"/>
        <v>1</v>
      </c>
      <c r="L49" s="10">
        <f t="shared" si="62"/>
        <v>0</v>
      </c>
      <c r="M49" s="10">
        <f t="shared" si="63"/>
        <v>0</v>
      </c>
      <c r="N49" s="10">
        <f t="shared" si="64"/>
        <v>0</v>
      </c>
      <c r="O49" s="10">
        <f t="shared" si="65"/>
        <v>0</v>
      </c>
      <c r="P49" s="10">
        <f t="shared" si="66"/>
        <v>0</v>
      </c>
      <c r="Q49" s="10">
        <f t="shared" si="67"/>
        <v>0</v>
      </c>
      <c r="R49" s="10">
        <f t="array" ref="R49">IF(AND(F49=0,1&gt;B49,(COUNTIFS(Suizo!$C$5:$C$16,D49,Suizo!$H$5:$H$16,INDEX($G$32:$G$43,1))+COUNTIFS(Suizo!$C$5:$C$16,INDEX($G$32:$G$43,1),Suizo!$H$5:$H$16,D49))=0),1,99)</f>
        <v>99</v>
      </c>
      <c r="S49" s="10">
        <f t="array" ref="S49">IF(AND(G49=0,2&gt;B49,(COUNTIFS(Suizo!$C$5:$C$16,D49,Suizo!$H$5:$H$16,INDEX($G$32:$G$43,2))+COUNTIFS(Suizo!$C$5:$C$16,INDEX($G$32:$G$43,2),Suizo!$H$5:$H$16,D49))=0),2,99)</f>
        <v>99</v>
      </c>
      <c r="T49" s="10">
        <f t="array" ref="T49">IF(AND(H49=0,3&gt;B49,(COUNTIFS(Suizo!$C$5:$C$16,D49,Suizo!$H$5:$H$16,INDEX($G$32:$G$43,3))+COUNTIFS(Suizo!$C$5:$C$16,INDEX($G$32:$G$43,3),Suizo!$H$5:$H$16,D49))=0),3,99)</f>
        <v>99</v>
      </c>
      <c r="U49" s="10">
        <f t="array" ref="U49">IF(AND(I49=0,4&gt;B49,(COUNTIFS(Suizo!$C$5:$C$16,D49,Suizo!$H$5:$H$16,INDEX($G$32:$G$43,4))+COUNTIFS(Suizo!$C$5:$C$16,INDEX($G$32:$G$43,4),Suizo!$H$5:$H$16,D49))=0),4,99)</f>
        <v>99</v>
      </c>
      <c r="V49" s="10">
        <f t="array" ref="V49">IF(AND(J49=0,5&gt;B49,(COUNTIFS(Suizo!$C$5:$C$16,D49,Suizo!$H$5:$H$16,INDEX($G$32:$G$43,5))+COUNTIFS(Suizo!$C$5:$C$16,INDEX($G$32:$G$43,5),Suizo!$H$5:$H$16,D49))=0),5,99)</f>
        <v>99</v>
      </c>
      <c r="W49" s="10">
        <f t="array" ref="W49">IF(AND(K49=0,6&gt;B49,(COUNTIFS(Suizo!$C$5:$C$16,D49,Suizo!$H$5:$H$16,INDEX($G$32:$G$43,6))+COUNTIFS(Suizo!$C$5:$C$16,INDEX($G$32:$G$43,6),Suizo!$H$5:$H$16,D49))=0),6,99)</f>
        <v>99</v>
      </c>
      <c r="X49" s="10">
        <f t="array" ref="X49">IF(AND(L49=0,7&gt;B49,(COUNTIFS(Suizo!$C$5:$C$16,D49,Suizo!$H$5:$H$16,INDEX($G$32:$G$43,7))+COUNTIFS(Suizo!$C$5:$C$16,INDEX($G$32:$G$43,7),Suizo!$H$5:$H$16,D49))=0),7,99)</f>
        <v>99</v>
      </c>
      <c r="Y49" s="10">
        <f t="array" ref="Y49">IF(AND(M49=0,8&gt;B49,(COUNTIFS(Suizo!$C$5:$C$16,D49,Suizo!$H$5:$H$16,INDEX($G$32:$G$43,8))+COUNTIFS(Suizo!$C$5:$C$16,INDEX($G$32:$G$43,8),Suizo!$H$5:$H$16,D49))=0),8,99)</f>
        <v>8</v>
      </c>
      <c r="Z49" s="10">
        <f t="array" ref="Z49">IF(AND(N49=0,9&gt;B49,(COUNTIFS(Suizo!$C$5:$C$16,D49,Suizo!$H$5:$H$16,INDEX($G$32:$G$43,9))+COUNTIFS(Suizo!$C$5:$C$16,INDEX($G$32:$G$43,9),Suizo!$H$5:$H$16,D49))=0),9,99)</f>
        <v>9</v>
      </c>
      <c r="AA49" s="10">
        <f t="array" ref="AA49">IF(AND(O49=0,10&gt;B49,(COUNTIFS(Suizo!$C$5:$C$16,D49,Suizo!$H$5:$H$16,INDEX($G$32:$G$43,10))+COUNTIFS(Suizo!$C$5:$C$16,INDEX($G$32:$G$43,10),Suizo!$H$5:$H$16,D49))=0),10,99)</f>
        <v>10</v>
      </c>
      <c r="AB49" s="10">
        <f t="array" ref="AB49">IF(AND(P49=0,11&gt;B49,(COUNTIFS(Suizo!$C$5:$C$16,D49,Suizo!$H$5:$H$16,INDEX($G$32:$G$43,11))+COUNTIFS(Suizo!$C$5:$C$16,INDEX($G$32:$G$43,11),Suizo!$H$5:$H$16,D49))=0),11,99)</f>
        <v>11</v>
      </c>
      <c r="AC49" s="10">
        <f t="array" ref="AC49">IF(AND(Q49=0,12&gt;B49,(COUNTIFS(Suizo!$C$5:$C$16,D49,Suizo!$H$5:$H$16,INDEX($G$32:$G$43,12))+COUNTIFS(Suizo!$C$5:$C$16,INDEX($G$32:$G$43,12),Suizo!$H$5:$H$16,D49))=0),12,99)</f>
        <v>99</v>
      </c>
      <c r="AD49" s="10">
        <f t="shared" si="42"/>
        <v>99</v>
      </c>
      <c r="AE49" s="10">
        <f t="shared" si="43"/>
        <v>99</v>
      </c>
      <c r="AF49" s="10">
        <f t="shared" si="44"/>
        <v>99</v>
      </c>
      <c r="AG49" s="10">
        <f t="shared" si="45"/>
        <v>99</v>
      </c>
      <c r="AH49" s="10">
        <f t="shared" si="46"/>
        <v>99</v>
      </c>
      <c r="AI49" s="10">
        <f t="shared" si="47"/>
        <v>99</v>
      </c>
      <c r="AJ49" s="10">
        <f t="shared" si="48"/>
        <v>99</v>
      </c>
      <c r="AK49" s="10">
        <f t="shared" si="49"/>
        <v>8</v>
      </c>
      <c r="AL49" s="10">
        <f t="shared" si="50"/>
        <v>9</v>
      </c>
      <c r="AM49" s="10">
        <f t="shared" si="51"/>
        <v>10</v>
      </c>
      <c r="AN49" s="10">
        <f t="shared" si="52"/>
        <v>11</v>
      </c>
      <c r="AO49" s="10">
        <f t="shared" si="53"/>
        <v>12</v>
      </c>
      <c r="AP49" s="10" t="str">
        <f t="shared" si="54"/>
        <v/>
      </c>
    </row>
    <row r="50" ht="15.75" customHeight="1">
      <c r="A50" s="10">
        <v>5.0</v>
      </c>
      <c r="B50" s="10">
        <f t="shared" si="39"/>
        <v>9</v>
      </c>
      <c r="C50" s="10">
        <f t="shared" si="40"/>
        <v>10</v>
      </c>
      <c r="D50" s="10">
        <f t="shared" ref="D50:E50" si="69">INDEX($G$32:$G$43,B50)</f>
        <v>12</v>
      </c>
      <c r="E50" s="10">
        <f t="shared" si="69"/>
        <v>10</v>
      </c>
      <c r="F50" s="10">
        <f t="shared" si="56"/>
        <v>1</v>
      </c>
      <c r="G50" s="10">
        <f t="shared" si="57"/>
        <v>1</v>
      </c>
      <c r="H50" s="10">
        <f t="shared" si="58"/>
        <v>1</v>
      </c>
      <c r="I50" s="10">
        <f t="shared" si="59"/>
        <v>1</v>
      </c>
      <c r="J50" s="10">
        <f t="shared" si="60"/>
        <v>1</v>
      </c>
      <c r="K50" s="10">
        <f t="shared" si="61"/>
        <v>1</v>
      </c>
      <c r="L50" s="10">
        <f t="shared" si="62"/>
        <v>1</v>
      </c>
      <c r="M50" s="10">
        <f t="shared" si="63"/>
        <v>1</v>
      </c>
      <c r="N50" s="10">
        <f t="shared" si="64"/>
        <v>0</v>
      </c>
      <c r="O50" s="10">
        <f t="shared" si="65"/>
        <v>0</v>
      </c>
      <c r="P50" s="10">
        <f t="shared" si="66"/>
        <v>0</v>
      </c>
      <c r="Q50" s="10">
        <f t="shared" si="67"/>
        <v>0</v>
      </c>
      <c r="R50" s="10">
        <f t="array" ref="R50">IF(AND(F50=0,1&gt;B50,(COUNTIFS(Suizo!$C$5:$C$16,D50,Suizo!$H$5:$H$16,INDEX($G$32:$G$43,1))+COUNTIFS(Suizo!$C$5:$C$16,INDEX($G$32:$G$43,1),Suizo!$H$5:$H$16,D50))=0),1,99)</f>
        <v>99</v>
      </c>
      <c r="S50" s="10">
        <f t="array" ref="S50">IF(AND(G50=0,2&gt;B50,(COUNTIFS(Suizo!$C$5:$C$16,D50,Suizo!$H$5:$H$16,INDEX($G$32:$G$43,2))+COUNTIFS(Suizo!$C$5:$C$16,INDEX($G$32:$G$43,2),Suizo!$H$5:$H$16,D50))=0),2,99)</f>
        <v>99</v>
      </c>
      <c r="T50" s="10">
        <f t="array" ref="T50">IF(AND(H50=0,3&gt;B50,(COUNTIFS(Suizo!$C$5:$C$16,D50,Suizo!$H$5:$H$16,INDEX($G$32:$G$43,3))+COUNTIFS(Suizo!$C$5:$C$16,INDEX($G$32:$G$43,3),Suizo!$H$5:$H$16,D50))=0),3,99)</f>
        <v>99</v>
      </c>
      <c r="U50" s="10">
        <f t="array" ref="U50">IF(AND(I50=0,4&gt;B50,(COUNTIFS(Suizo!$C$5:$C$16,D50,Suizo!$H$5:$H$16,INDEX($G$32:$G$43,4))+COUNTIFS(Suizo!$C$5:$C$16,INDEX($G$32:$G$43,4),Suizo!$H$5:$H$16,D50))=0),4,99)</f>
        <v>99</v>
      </c>
      <c r="V50" s="10">
        <f t="array" ref="V50">IF(AND(J50=0,5&gt;B50,(COUNTIFS(Suizo!$C$5:$C$16,D50,Suizo!$H$5:$H$16,INDEX($G$32:$G$43,5))+COUNTIFS(Suizo!$C$5:$C$16,INDEX($G$32:$G$43,5),Suizo!$H$5:$H$16,D50))=0),5,99)</f>
        <v>99</v>
      </c>
      <c r="W50" s="10">
        <f t="array" ref="W50">IF(AND(K50=0,6&gt;B50,(COUNTIFS(Suizo!$C$5:$C$16,D50,Suizo!$H$5:$H$16,INDEX($G$32:$G$43,6))+COUNTIFS(Suizo!$C$5:$C$16,INDEX($G$32:$G$43,6),Suizo!$H$5:$H$16,D50))=0),6,99)</f>
        <v>99</v>
      </c>
      <c r="X50" s="10">
        <f t="array" ref="X50">IF(AND(L50=0,7&gt;B50,(COUNTIFS(Suizo!$C$5:$C$16,D50,Suizo!$H$5:$H$16,INDEX($G$32:$G$43,7))+COUNTIFS(Suizo!$C$5:$C$16,INDEX($G$32:$G$43,7),Suizo!$H$5:$H$16,D50))=0),7,99)</f>
        <v>99</v>
      </c>
      <c r="Y50" s="10">
        <f t="array" ref="Y50">IF(AND(M50=0,8&gt;B50,(COUNTIFS(Suizo!$C$5:$C$16,D50,Suizo!$H$5:$H$16,INDEX($G$32:$G$43,8))+COUNTIFS(Suizo!$C$5:$C$16,INDEX($G$32:$G$43,8),Suizo!$H$5:$H$16,D50))=0),8,99)</f>
        <v>99</v>
      </c>
      <c r="Z50" s="10">
        <f t="array" ref="Z50">IF(AND(N50=0,9&gt;B50,(COUNTIFS(Suizo!$C$5:$C$16,D50,Suizo!$H$5:$H$16,INDEX($G$32:$G$43,9))+COUNTIFS(Suizo!$C$5:$C$16,INDEX($G$32:$G$43,9),Suizo!$H$5:$H$16,D50))=0),9,99)</f>
        <v>99</v>
      </c>
      <c r="AA50" s="10">
        <f t="array" ref="AA50">IF(AND(O50=0,10&gt;B50,(COUNTIFS(Suizo!$C$5:$C$16,D50,Suizo!$H$5:$H$16,INDEX($G$32:$G$43,10))+COUNTIFS(Suizo!$C$5:$C$16,INDEX($G$32:$G$43,10),Suizo!$H$5:$H$16,D50))=0),10,99)</f>
        <v>10</v>
      </c>
      <c r="AB50" s="10">
        <f t="array" ref="AB50">IF(AND(P50=0,11&gt;B50,(COUNTIFS(Suizo!$C$5:$C$16,D50,Suizo!$H$5:$H$16,INDEX($G$32:$G$43,11))+COUNTIFS(Suizo!$C$5:$C$16,INDEX($G$32:$G$43,11),Suizo!$H$5:$H$16,D50))=0),11,99)</f>
        <v>99</v>
      </c>
      <c r="AC50" s="10">
        <f t="array" ref="AC50">IF(AND(Q50=0,12&gt;B50,(COUNTIFS(Suizo!$C$5:$C$16,D50,Suizo!$H$5:$H$16,INDEX($G$32:$G$43,12))+COUNTIFS(Suizo!$C$5:$C$16,INDEX($G$32:$G$43,12),Suizo!$H$5:$H$16,D50))=0),12,99)</f>
        <v>12</v>
      </c>
      <c r="AD50" s="10">
        <f t="shared" si="42"/>
        <v>99</v>
      </c>
      <c r="AE50" s="10">
        <f t="shared" si="43"/>
        <v>99</v>
      </c>
      <c r="AF50" s="10">
        <f t="shared" si="44"/>
        <v>99</v>
      </c>
      <c r="AG50" s="10">
        <f t="shared" si="45"/>
        <v>99</v>
      </c>
      <c r="AH50" s="10">
        <f t="shared" si="46"/>
        <v>99</v>
      </c>
      <c r="AI50" s="10">
        <f t="shared" si="47"/>
        <v>99</v>
      </c>
      <c r="AJ50" s="10">
        <f t="shared" si="48"/>
        <v>99</v>
      </c>
      <c r="AK50" s="10">
        <f t="shared" si="49"/>
        <v>99</v>
      </c>
      <c r="AL50" s="10">
        <f t="shared" si="50"/>
        <v>99</v>
      </c>
      <c r="AM50" s="10">
        <f t="shared" si="51"/>
        <v>10</v>
      </c>
      <c r="AN50" s="10">
        <f t="shared" si="52"/>
        <v>11</v>
      </c>
      <c r="AO50" s="10">
        <f t="shared" si="53"/>
        <v>12</v>
      </c>
      <c r="AP50" s="10" t="str">
        <f t="shared" si="54"/>
        <v/>
      </c>
    </row>
    <row r="51" ht="15.75" customHeight="1">
      <c r="A51" s="10">
        <v>6.0</v>
      </c>
      <c r="B51" s="10">
        <f t="shared" si="39"/>
        <v>11</v>
      </c>
      <c r="C51" s="10">
        <f t="shared" si="40"/>
        <v>12</v>
      </c>
      <c r="D51" s="10">
        <f t="shared" ref="D51:E51" si="70">INDEX($G$32:$G$43,B51)</f>
        <v>8</v>
      </c>
      <c r="E51" s="10">
        <f t="shared" si="70"/>
        <v>6</v>
      </c>
      <c r="F51" s="10">
        <f t="shared" si="56"/>
        <v>1</v>
      </c>
      <c r="G51" s="10">
        <f t="shared" si="57"/>
        <v>1</v>
      </c>
      <c r="H51" s="10">
        <f t="shared" si="58"/>
        <v>1</v>
      </c>
      <c r="I51" s="10">
        <f t="shared" si="59"/>
        <v>1</v>
      </c>
      <c r="J51" s="10">
        <f t="shared" si="60"/>
        <v>1</v>
      </c>
      <c r="K51" s="10">
        <f t="shared" si="61"/>
        <v>1</v>
      </c>
      <c r="L51" s="10">
        <f t="shared" si="62"/>
        <v>1</v>
      </c>
      <c r="M51" s="10">
        <f t="shared" si="63"/>
        <v>1</v>
      </c>
      <c r="N51" s="10">
        <f t="shared" si="64"/>
        <v>1</v>
      </c>
      <c r="O51" s="10">
        <f t="shared" si="65"/>
        <v>1</v>
      </c>
      <c r="P51" s="10">
        <f t="shared" si="66"/>
        <v>0</v>
      </c>
      <c r="Q51" s="10">
        <f t="shared" si="67"/>
        <v>0</v>
      </c>
      <c r="R51" s="10">
        <f t="array" ref="R51">IF(AND(F51=0,1&gt;B51,(COUNTIFS(Suizo!$C$5:$C$16,D51,Suizo!$H$5:$H$16,INDEX($G$32:$G$43,1))+COUNTIFS(Suizo!$C$5:$C$16,INDEX($G$32:$G$43,1),Suizo!$H$5:$H$16,D51))=0),1,99)</f>
        <v>99</v>
      </c>
      <c r="S51" s="10">
        <f t="array" ref="S51">IF(AND(G51=0,2&gt;B51,(COUNTIFS(Suizo!$C$5:$C$16,D51,Suizo!$H$5:$H$16,INDEX($G$32:$G$43,2))+COUNTIFS(Suizo!$C$5:$C$16,INDEX($G$32:$G$43,2),Suizo!$H$5:$H$16,D51))=0),2,99)</f>
        <v>99</v>
      </c>
      <c r="T51" s="10">
        <f t="array" ref="T51">IF(AND(H51=0,3&gt;B51,(COUNTIFS(Suizo!$C$5:$C$16,D51,Suizo!$H$5:$H$16,INDEX($G$32:$G$43,3))+COUNTIFS(Suizo!$C$5:$C$16,INDEX($G$32:$G$43,3),Suizo!$H$5:$H$16,D51))=0),3,99)</f>
        <v>99</v>
      </c>
      <c r="U51" s="10">
        <f t="array" ref="U51">IF(AND(I51=0,4&gt;B51,(COUNTIFS(Suizo!$C$5:$C$16,D51,Suizo!$H$5:$H$16,INDEX($G$32:$G$43,4))+COUNTIFS(Suizo!$C$5:$C$16,INDEX($G$32:$G$43,4),Suizo!$H$5:$H$16,D51))=0),4,99)</f>
        <v>99</v>
      </c>
      <c r="V51" s="10">
        <f t="array" ref="V51">IF(AND(J51=0,5&gt;B51,(COUNTIFS(Suizo!$C$5:$C$16,D51,Suizo!$H$5:$H$16,INDEX($G$32:$G$43,5))+COUNTIFS(Suizo!$C$5:$C$16,INDEX($G$32:$G$43,5),Suizo!$H$5:$H$16,D51))=0),5,99)</f>
        <v>99</v>
      </c>
      <c r="W51" s="10">
        <f t="array" ref="W51">IF(AND(K51=0,6&gt;B51,(COUNTIFS(Suizo!$C$5:$C$16,D51,Suizo!$H$5:$H$16,INDEX($G$32:$G$43,6))+COUNTIFS(Suizo!$C$5:$C$16,INDEX($G$32:$G$43,6),Suizo!$H$5:$H$16,D51))=0),6,99)</f>
        <v>99</v>
      </c>
      <c r="X51" s="10">
        <f t="array" ref="X51">IF(AND(L51=0,7&gt;B51,(COUNTIFS(Suizo!$C$5:$C$16,D51,Suizo!$H$5:$H$16,INDEX($G$32:$G$43,7))+COUNTIFS(Suizo!$C$5:$C$16,INDEX($G$32:$G$43,7),Suizo!$H$5:$H$16,D51))=0),7,99)</f>
        <v>99</v>
      </c>
      <c r="Y51" s="10">
        <f t="array" ref="Y51">IF(AND(M51=0,8&gt;B51,(COUNTIFS(Suizo!$C$5:$C$16,D51,Suizo!$H$5:$H$16,INDEX($G$32:$G$43,8))+COUNTIFS(Suizo!$C$5:$C$16,INDEX($G$32:$G$43,8),Suizo!$H$5:$H$16,D51))=0),8,99)</f>
        <v>99</v>
      </c>
      <c r="Z51" s="10">
        <f t="array" ref="Z51">IF(AND(N51=0,9&gt;B51,(COUNTIFS(Suizo!$C$5:$C$16,D51,Suizo!$H$5:$H$16,INDEX($G$32:$G$43,9))+COUNTIFS(Suizo!$C$5:$C$16,INDEX($G$32:$G$43,9),Suizo!$H$5:$H$16,D51))=0),9,99)</f>
        <v>99</v>
      </c>
      <c r="AA51" s="10">
        <f t="array" ref="AA51">IF(AND(O51=0,10&gt;B51,(COUNTIFS(Suizo!$C$5:$C$16,D51,Suizo!$H$5:$H$16,INDEX($G$32:$G$43,10))+COUNTIFS(Suizo!$C$5:$C$16,INDEX($G$32:$G$43,10),Suizo!$H$5:$H$16,D51))=0),10,99)</f>
        <v>99</v>
      </c>
      <c r="AB51" s="10">
        <f t="array" ref="AB51">IF(AND(P51=0,11&gt;B51,(COUNTIFS(Suizo!$C$5:$C$16,D51,Suizo!$H$5:$H$16,INDEX($G$32:$G$43,11))+COUNTIFS(Suizo!$C$5:$C$16,INDEX($G$32:$G$43,11),Suizo!$H$5:$H$16,D51))=0),11,99)</f>
        <v>99</v>
      </c>
      <c r="AC51" s="10">
        <f t="array" ref="AC51">IF(AND(Q51=0,12&gt;B51,(COUNTIFS(Suizo!$C$5:$C$16,D51,Suizo!$H$5:$H$16,INDEX($G$32:$G$43,12))+COUNTIFS(Suizo!$C$5:$C$16,INDEX($G$32:$G$43,12),Suizo!$H$5:$H$16,D51))=0),12,99)</f>
        <v>12</v>
      </c>
      <c r="AD51" s="10">
        <f t="shared" si="42"/>
        <v>99</v>
      </c>
      <c r="AE51" s="10">
        <f t="shared" si="43"/>
        <v>99</v>
      </c>
      <c r="AF51" s="10">
        <f t="shared" si="44"/>
        <v>99</v>
      </c>
      <c r="AG51" s="10">
        <f t="shared" si="45"/>
        <v>99</v>
      </c>
      <c r="AH51" s="10">
        <f t="shared" si="46"/>
        <v>99</v>
      </c>
      <c r="AI51" s="10">
        <f t="shared" si="47"/>
        <v>99</v>
      </c>
      <c r="AJ51" s="10">
        <f t="shared" si="48"/>
        <v>99</v>
      </c>
      <c r="AK51" s="10">
        <f t="shared" si="49"/>
        <v>99</v>
      </c>
      <c r="AL51" s="10">
        <f t="shared" si="50"/>
        <v>99</v>
      </c>
      <c r="AM51" s="10">
        <f t="shared" si="51"/>
        <v>99</v>
      </c>
      <c r="AN51" s="10">
        <f t="shared" si="52"/>
        <v>99</v>
      </c>
      <c r="AO51" s="10">
        <f t="shared" si="53"/>
        <v>12</v>
      </c>
      <c r="AP51" s="10" t="str">
        <f t="shared" si="54"/>
        <v/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2C4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5" width="6.0"/>
    <col customWidth="1" min="6" max="8" width="7.0"/>
    <col customWidth="1" min="9" max="9" width="10.0"/>
    <col customWidth="1" min="10" max="10" width="22.0"/>
    <col customWidth="1" hidden="1" min="11" max="11" width="5.0"/>
    <col customWidth="1" min="12" max="26" width="8.71"/>
  </cols>
  <sheetData>
    <row r="1">
      <c r="A1" s="1" t="s">
        <v>75</v>
      </c>
      <c r="L1" s="2" t="s">
        <v>76</v>
      </c>
      <c r="M1" s="23">
        <f>COUNTIF(Suizo!$K$5:$K$22,"&gt;0")</f>
        <v>18</v>
      </c>
    </row>
    <row r="2">
      <c r="A2" s="2" t="s">
        <v>77</v>
      </c>
    </row>
    <row r="4">
      <c r="A4" s="3" t="s">
        <v>70</v>
      </c>
      <c r="B4" s="3" t="s">
        <v>6</v>
      </c>
      <c r="C4" s="3" t="s">
        <v>10</v>
      </c>
      <c r="D4" s="3" t="s">
        <v>12</v>
      </c>
      <c r="E4" s="3" t="s">
        <v>14</v>
      </c>
      <c r="F4" s="3" t="s">
        <v>16</v>
      </c>
      <c r="G4" s="3" t="s">
        <v>20</v>
      </c>
      <c r="H4" s="3" t="s">
        <v>22</v>
      </c>
      <c r="I4" s="3" t="s">
        <v>26</v>
      </c>
      <c r="J4" s="3" t="s">
        <v>78</v>
      </c>
      <c r="K4" s="3" t="s">
        <v>79</v>
      </c>
    </row>
    <row r="5">
      <c r="A5" s="22">
        <v>1.0</v>
      </c>
      <c r="B5" s="24" t="str">
        <f t="array" ref="B5">INDEX(Calculo!$B$2:$B$13,K5)</f>
        <v>Cardozo / Cardozo</v>
      </c>
      <c r="C5" s="22">
        <f t="array" ref="C5">INDEX(Calculo!$C$2:$C$13,K5)</f>
        <v>3</v>
      </c>
      <c r="D5" s="22">
        <f t="array" ref="D5">INDEX(Calculo!$D$2:$D$13,K5)</f>
        <v>3</v>
      </c>
      <c r="E5" s="22">
        <f t="array" ref="E5">INDEX(Calculo!$E$2:$E$13,K5)</f>
        <v>0</v>
      </c>
      <c r="F5" s="22">
        <f t="array" ref="F5">INDEX(Calculo!$F$2:$F$13,K5)</f>
        <v>27</v>
      </c>
      <c r="G5" s="22">
        <f t="array" ref="G5">INDEX(Calculo!$G$2:$G$13,K5)</f>
        <v>12</v>
      </c>
      <c r="H5" s="22">
        <f t="array" ref="H5">INDEX(Calculo!$H$2:$H$13,K5)</f>
        <v>15</v>
      </c>
      <c r="I5" s="22">
        <f t="array" ref="I5">INDEX(Calculo!$I$2:$I$13,K5)</f>
        <v>4</v>
      </c>
      <c r="J5" s="22" t="str">
        <f t="shared" ref="J5:J16" si="1">IF(A5&lt;=8,"Clasifica","Eliminado")&amp;IF($M$1&lt;18," (provisorio)","")</f>
        <v>Clasifica</v>
      </c>
      <c r="K5" s="22">
        <f t="array" ref="K5">INDEX(Calculo!$A$2:$A$13,MATCH(LARGE(Calculo!$J$2:$J$13,A5),Calculo!$J$2:$J$13,0))</f>
        <v>1</v>
      </c>
    </row>
    <row r="6">
      <c r="A6" s="22">
        <v>2.0</v>
      </c>
      <c r="B6" s="24" t="str">
        <f t="array" ref="B6">INDEX(Calculo!$B$2:$B$13,K6)</f>
        <v>Bautista / Luciano</v>
      </c>
      <c r="C6" s="22">
        <f t="array" ref="C6">INDEX(Calculo!$C$2:$C$13,K6)</f>
        <v>3</v>
      </c>
      <c r="D6" s="22">
        <f t="array" ref="D6">INDEX(Calculo!$D$2:$D$13,K6)</f>
        <v>3</v>
      </c>
      <c r="E6" s="22">
        <f t="array" ref="E6">INDEX(Calculo!$E$2:$E$13,K6)</f>
        <v>0</v>
      </c>
      <c r="F6" s="22">
        <f t="array" ref="F6">INDEX(Calculo!$F$2:$F$13,K6)</f>
        <v>27</v>
      </c>
      <c r="G6" s="22">
        <f t="array" ref="G6">INDEX(Calculo!$G$2:$G$13,K6)</f>
        <v>12</v>
      </c>
      <c r="H6" s="22">
        <f t="array" ref="H6">INDEX(Calculo!$H$2:$H$13,K6)</f>
        <v>15</v>
      </c>
      <c r="I6" s="22">
        <f t="array" ref="I6">INDEX(Calculo!$I$2:$I$13,K6)</f>
        <v>3</v>
      </c>
      <c r="J6" s="22" t="str">
        <f t="shared" si="1"/>
        <v>Clasifica</v>
      </c>
      <c r="K6" s="22">
        <f t="array" ref="K6">INDEX(Calculo!$A$2:$A$13,MATCH(LARGE(Calculo!$J$2:$J$13,A6),Calculo!$J$2:$J$13,0))</f>
        <v>9</v>
      </c>
    </row>
    <row r="7">
      <c r="A7" s="22">
        <v>3.0</v>
      </c>
      <c r="B7" s="24" t="str">
        <f t="array" ref="B7">INDEX(Calculo!$B$2:$B$13,K7)</f>
        <v>Francisco / Marcos</v>
      </c>
      <c r="C7" s="22">
        <f t="array" ref="C7">INDEX(Calculo!$C$2:$C$13,K7)</f>
        <v>3</v>
      </c>
      <c r="D7" s="22">
        <f t="array" ref="D7">INDEX(Calculo!$D$2:$D$13,K7)</f>
        <v>2</v>
      </c>
      <c r="E7" s="22">
        <f t="array" ref="E7">INDEX(Calculo!$E$2:$E$13,K7)</f>
        <v>1</v>
      </c>
      <c r="F7" s="22">
        <f t="array" ref="F7">INDEX(Calculo!$F$2:$F$13,K7)</f>
        <v>25</v>
      </c>
      <c r="G7" s="22">
        <f t="array" ref="G7">INDEX(Calculo!$G$2:$G$13,K7)</f>
        <v>15</v>
      </c>
      <c r="H7" s="22">
        <f t="array" ref="H7">INDEX(Calculo!$H$2:$H$13,K7)</f>
        <v>10</v>
      </c>
      <c r="I7" s="22">
        <f t="array" ref="I7">INDEX(Calculo!$I$2:$I$13,K7)</f>
        <v>7</v>
      </c>
      <c r="J7" s="22" t="str">
        <f t="shared" si="1"/>
        <v>Clasifica</v>
      </c>
      <c r="K7" s="22">
        <f t="array" ref="K7">INDEX(Calculo!$A$2:$A$13,MATCH(LARGE(Calculo!$J$2:$J$13,A7),Calculo!$J$2:$J$13,0))</f>
        <v>5</v>
      </c>
    </row>
    <row r="8">
      <c r="A8" s="22">
        <v>4.0</v>
      </c>
      <c r="B8" s="24" t="str">
        <f t="array" ref="B8">INDEX(Calculo!$B$2:$B$13,K8)</f>
        <v>Blas / Agustin</v>
      </c>
      <c r="C8" s="22">
        <f t="array" ref="C8">INDEX(Calculo!$C$2:$C$13,K8)</f>
        <v>3</v>
      </c>
      <c r="D8" s="22">
        <f t="array" ref="D8">INDEX(Calculo!$D$2:$D$13,K8)</f>
        <v>2</v>
      </c>
      <c r="E8" s="22">
        <f t="array" ref="E8">INDEX(Calculo!$E$2:$E$13,K8)</f>
        <v>1</v>
      </c>
      <c r="F8" s="22">
        <f t="array" ref="F8">INDEX(Calculo!$F$2:$F$13,K8)</f>
        <v>21</v>
      </c>
      <c r="G8" s="22">
        <f t="array" ref="G8">INDEX(Calculo!$G$2:$G$13,K8)</f>
        <v>12</v>
      </c>
      <c r="H8" s="22">
        <f t="array" ref="H8">INDEX(Calculo!$H$2:$H$13,K8)</f>
        <v>9</v>
      </c>
      <c r="I8" s="22">
        <f t="array" ref="I8">INDEX(Calculo!$I$2:$I$13,K8)</f>
        <v>3</v>
      </c>
      <c r="J8" s="22" t="str">
        <f t="shared" si="1"/>
        <v>Clasifica</v>
      </c>
      <c r="K8" s="22">
        <f t="array" ref="K8">INDEX(Calculo!$A$2:$A$13,MATCH(LARGE(Calculo!$J$2:$J$13,A8),Calculo!$J$2:$J$13,0))</f>
        <v>2</v>
      </c>
    </row>
    <row r="9">
      <c r="A9" s="22">
        <v>5.0</v>
      </c>
      <c r="B9" s="24" t="str">
        <f t="array" ref="B9">INDEX(Calculo!$B$2:$B$13,K9)</f>
        <v>Agustin / Rodrigo</v>
      </c>
      <c r="C9" s="22">
        <f t="array" ref="C9">INDEX(Calculo!$C$2:$C$13,K9)</f>
        <v>3</v>
      </c>
      <c r="D9" s="22">
        <f t="array" ref="D9">INDEX(Calculo!$D$2:$D$13,K9)</f>
        <v>2</v>
      </c>
      <c r="E9" s="22">
        <f t="array" ref="E9">INDEX(Calculo!$E$2:$E$13,K9)</f>
        <v>1</v>
      </c>
      <c r="F9" s="22">
        <f t="array" ref="F9">INDEX(Calculo!$F$2:$F$13,K9)</f>
        <v>21</v>
      </c>
      <c r="G9" s="22">
        <f t="array" ref="G9">INDEX(Calculo!$G$2:$G$13,K9)</f>
        <v>23</v>
      </c>
      <c r="H9" s="22">
        <f t="array" ref="H9">INDEX(Calculo!$H$2:$H$13,K9)</f>
        <v>-2</v>
      </c>
      <c r="I9" s="22">
        <f t="array" ref="I9">INDEX(Calculo!$I$2:$I$13,K9)</f>
        <v>3</v>
      </c>
      <c r="J9" s="22" t="str">
        <f t="shared" si="1"/>
        <v>Clasifica</v>
      </c>
      <c r="K9" s="22">
        <f t="array" ref="K9">INDEX(Calculo!$A$2:$A$13,MATCH(LARGE(Calculo!$J$2:$J$13,A9),Calculo!$J$2:$J$13,0))</f>
        <v>11</v>
      </c>
    </row>
    <row r="10">
      <c r="A10" s="22">
        <v>6.0</v>
      </c>
      <c r="B10" s="24" t="str">
        <f t="array" ref="B10">INDEX(Calculo!$B$2:$B$13,K10)</f>
        <v>Enzo / Gonza</v>
      </c>
      <c r="C10" s="22">
        <f t="array" ref="C10">INDEX(Calculo!$C$2:$C$13,K10)</f>
        <v>3</v>
      </c>
      <c r="D10" s="22">
        <f t="array" ref="D10">INDEX(Calculo!$D$2:$D$13,K10)</f>
        <v>2</v>
      </c>
      <c r="E10" s="22">
        <f t="array" ref="E10">INDEX(Calculo!$E$2:$E$13,K10)</f>
        <v>1</v>
      </c>
      <c r="F10" s="22">
        <f t="array" ref="F10">INDEX(Calculo!$F$2:$F$13,K10)</f>
        <v>18</v>
      </c>
      <c r="G10" s="22">
        <f t="array" ref="G10">INDEX(Calculo!$G$2:$G$13,K10)</f>
        <v>21</v>
      </c>
      <c r="H10" s="22">
        <f t="array" ref="H10">INDEX(Calculo!$H$2:$H$13,K10)</f>
        <v>-3</v>
      </c>
      <c r="I10" s="22">
        <f t="array" ref="I10">INDEX(Calculo!$I$2:$I$13,K10)</f>
        <v>4</v>
      </c>
      <c r="J10" s="22" t="str">
        <f t="shared" si="1"/>
        <v>Clasifica</v>
      </c>
      <c r="K10" s="22">
        <f t="array" ref="K10">INDEX(Calculo!$A$2:$A$13,MATCH(LARGE(Calculo!$J$2:$J$13,A10),Calculo!$J$2:$J$13,0))</f>
        <v>12</v>
      </c>
    </row>
    <row r="11">
      <c r="A11" s="22">
        <v>7.0</v>
      </c>
      <c r="B11" s="24" t="str">
        <f t="array" ref="B11">INDEX(Calculo!$B$2:$B$13,K11)</f>
        <v>Diego / (a confirmar)</v>
      </c>
      <c r="C11" s="22">
        <f t="array" ref="C11">INDEX(Calculo!$C$2:$C$13,K11)</f>
        <v>3</v>
      </c>
      <c r="D11" s="22">
        <f t="array" ref="D11">INDEX(Calculo!$D$2:$D$13,K11)</f>
        <v>1</v>
      </c>
      <c r="E11" s="22">
        <f t="array" ref="E11">INDEX(Calculo!$E$2:$E$13,K11)</f>
        <v>2</v>
      </c>
      <c r="F11" s="22">
        <f t="array" ref="F11">INDEX(Calculo!$F$2:$F$13,K11)</f>
        <v>21</v>
      </c>
      <c r="G11" s="22">
        <f t="array" ref="G11">INDEX(Calculo!$G$2:$G$13,K11)</f>
        <v>20</v>
      </c>
      <c r="H11" s="22">
        <f t="array" ref="H11">INDEX(Calculo!$H$2:$H$13,K11)</f>
        <v>1</v>
      </c>
      <c r="I11" s="22">
        <f t="array" ref="I11">INDEX(Calculo!$I$2:$I$13,K11)</f>
        <v>5</v>
      </c>
      <c r="J11" s="22" t="str">
        <f t="shared" si="1"/>
        <v>Clasifica</v>
      </c>
      <c r="K11" s="22">
        <f t="array" ref="K11">INDEX(Calculo!$A$2:$A$13,MATCH(LARGE(Calculo!$J$2:$J$13,A11),Calculo!$J$2:$J$13,0))</f>
        <v>3</v>
      </c>
    </row>
    <row r="12">
      <c r="A12" s="22">
        <v>8.0</v>
      </c>
      <c r="B12" s="24" t="str">
        <f t="array" ref="B12">INDEX(Calculo!$B$2:$B$13,K12)</f>
        <v>Rodrigo / Nazareno</v>
      </c>
      <c r="C12" s="22">
        <f t="array" ref="C12">INDEX(Calculo!$C$2:$C$13,K12)</f>
        <v>3</v>
      </c>
      <c r="D12" s="22">
        <f t="array" ref="D12">INDEX(Calculo!$D$2:$D$13,K12)</f>
        <v>1</v>
      </c>
      <c r="E12" s="22">
        <f t="array" ref="E12">INDEX(Calculo!$E$2:$E$13,K12)</f>
        <v>2</v>
      </c>
      <c r="F12" s="22">
        <f t="array" ref="F12">INDEX(Calculo!$F$2:$F$13,K12)</f>
        <v>18</v>
      </c>
      <c r="G12" s="22">
        <f t="array" ref="G12">INDEX(Calculo!$G$2:$G$13,K12)</f>
        <v>21</v>
      </c>
      <c r="H12" s="22">
        <f t="array" ref="H12">INDEX(Calculo!$H$2:$H$13,K12)</f>
        <v>-3</v>
      </c>
      <c r="I12" s="22">
        <f t="array" ref="I12">INDEX(Calculo!$I$2:$I$13,K12)</f>
        <v>3</v>
      </c>
      <c r="J12" s="22" t="str">
        <f t="shared" si="1"/>
        <v>Clasifica</v>
      </c>
      <c r="K12" s="22">
        <f t="array" ref="K12">INDEX(Calculo!$A$2:$A$13,MATCH(LARGE(Calculo!$J$2:$J$13,A12),Calculo!$J$2:$J$13,0))</f>
        <v>8</v>
      </c>
    </row>
    <row r="13">
      <c r="A13" s="22">
        <v>9.0</v>
      </c>
      <c r="B13" s="24" t="str">
        <f t="array" ref="B13">INDEX(Calculo!$B$2:$B$13,K13)</f>
        <v>Luciano / Gonzalo</v>
      </c>
      <c r="C13" s="22">
        <f t="array" ref="C13">INDEX(Calculo!$C$2:$C$13,K13)</f>
        <v>3</v>
      </c>
      <c r="D13" s="22">
        <f t="array" ref="D13">INDEX(Calculo!$D$2:$D$13,K13)</f>
        <v>1</v>
      </c>
      <c r="E13" s="22">
        <f t="array" ref="E13">INDEX(Calculo!$E$2:$E$13,K13)</f>
        <v>2</v>
      </c>
      <c r="F13" s="22">
        <f t="array" ref="F13">INDEX(Calculo!$F$2:$F$13,K13)</f>
        <v>17</v>
      </c>
      <c r="G13" s="22">
        <f t="array" ref="G13">INDEX(Calculo!$G$2:$G$13,K13)</f>
        <v>25</v>
      </c>
      <c r="H13" s="22">
        <f t="array" ref="H13">INDEX(Calculo!$H$2:$H$13,K13)</f>
        <v>-8</v>
      </c>
      <c r="I13" s="22">
        <f t="array" ref="I13">INDEX(Calculo!$I$2:$I$13,K13)</f>
        <v>6</v>
      </c>
      <c r="J13" s="22" t="str">
        <f t="shared" si="1"/>
        <v>Eliminado</v>
      </c>
      <c r="K13" s="22">
        <f t="array" ref="K13">INDEX(Calculo!$A$2:$A$13,MATCH(LARGE(Calculo!$J$2:$J$13,A13),Calculo!$J$2:$J$13,0))</f>
        <v>4</v>
      </c>
    </row>
    <row r="14">
      <c r="A14" s="22">
        <v>10.0</v>
      </c>
      <c r="B14" s="24" t="str">
        <f t="array" ref="B14">INDEX(Calculo!$B$2:$B$13,K14)</f>
        <v>Simon / Joaquin</v>
      </c>
      <c r="C14" s="22">
        <f t="array" ref="C14">INDEX(Calculo!$C$2:$C$13,K14)</f>
        <v>3</v>
      </c>
      <c r="D14" s="22">
        <f t="array" ref="D14">INDEX(Calculo!$D$2:$D$13,K14)</f>
        <v>1</v>
      </c>
      <c r="E14" s="22">
        <f t="array" ref="E14">INDEX(Calculo!$E$2:$E$13,K14)</f>
        <v>2</v>
      </c>
      <c r="F14" s="22">
        <f t="array" ref="F14">INDEX(Calculo!$F$2:$F$13,K14)</f>
        <v>15</v>
      </c>
      <c r="G14" s="22">
        <f t="array" ref="G14">INDEX(Calculo!$G$2:$G$13,K14)</f>
        <v>23</v>
      </c>
      <c r="H14" s="22">
        <f t="array" ref="H14">INDEX(Calculo!$H$2:$H$13,K14)</f>
        <v>-8</v>
      </c>
      <c r="I14" s="22">
        <f t="array" ref="I14">INDEX(Calculo!$I$2:$I$13,K14)</f>
        <v>5</v>
      </c>
      <c r="J14" s="22" t="str">
        <f t="shared" si="1"/>
        <v>Eliminado</v>
      </c>
      <c r="K14" s="22">
        <f t="array" ref="K14">INDEX(Calculo!$A$2:$A$13,MATCH(LARGE(Calculo!$J$2:$J$13,A14),Calculo!$J$2:$J$13,0))</f>
        <v>7</v>
      </c>
    </row>
    <row r="15">
      <c r="A15" s="22">
        <v>11.0</v>
      </c>
      <c r="B15" s="24" t="str">
        <f t="array" ref="B15">INDEX(Calculo!$B$2:$B$13,K15)</f>
        <v>Lucas / Martin</v>
      </c>
      <c r="C15" s="22">
        <f t="array" ref="C15">INDEX(Calculo!$C$2:$C$13,K15)</f>
        <v>3</v>
      </c>
      <c r="D15" s="22">
        <f t="array" ref="D15">INDEX(Calculo!$D$2:$D$13,K15)</f>
        <v>0</v>
      </c>
      <c r="E15" s="22">
        <f t="array" ref="E15">INDEX(Calculo!$E$2:$E$13,K15)</f>
        <v>3</v>
      </c>
      <c r="F15" s="22">
        <f t="array" ref="F15">INDEX(Calculo!$F$2:$F$13,K15)</f>
        <v>17</v>
      </c>
      <c r="G15" s="22">
        <f t="array" ref="G15">INDEX(Calculo!$G$2:$G$13,K15)</f>
        <v>27</v>
      </c>
      <c r="H15" s="22">
        <f t="array" ref="H15">INDEX(Calculo!$H$2:$H$13,K15)</f>
        <v>-10</v>
      </c>
      <c r="I15" s="22">
        <f t="array" ref="I15">INDEX(Calculo!$I$2:$I$13,K15)</f>
        <v>6</v>
      </c>
      <c r="J15" s="22" t="str">
        <f t="shared" si="1"/>
        <v>Eliminado</v>
      </c>
      <c r="K15" s="22">
        <f t="array" ref="K15">INDEX(Calculo!$A$2:$A$13,MATCH(LARGE(Calculo!$J$2:$J$13,A15),Calculo!$J$2:$J$13,0))</f>
        <v>10</v>
      </c>
    </row>
    <row r="16">
      <c r="A16" s="22">
        <v>12.0</v>
      </c>
      <c r="B16" s="24" t="str">
        <f t="array" ref="B16">INDEX(Calculo!$B$2:$B$13,K16)</f>
        <v>Luciano / Lautaro</v>
      </c>
      <c r="C16" s="22">
        <f t="array" ref="C16">INDEX(Calculo!$C$2:$C$13,K16)</f>
        <v>3</v>
      </c>
      <c r="D16" s="22">
        <f t="array" ref="D16">INDEX(Calculo!$D$2:$D$13,K16)</f>
        <v>0</v>
      </c>
      <c r="E16" s="22">
        <f t="array" ref="E16">INDEX(Calculo!$E$2:$E$13,K16)</f>
        <v>3</v>
      </c>
      <c r="F16" s="22">
        <f t="array" ref="F16">INDEX(Calculo!$F$2:$F$13,K16)</f>
        <v>11</v>
      </c>
      <c r="G16" s="22">
        <f t="array" ref="G16">INDEX(Calculo!$G$2:$G$13,K16)</f>
        <v>27</v>
      </c>
      <c r="H16" s="22">
        <f t="array" ref="H16">INDEX(Calculo!$H$2:$H$13,K16)</f>
        <v>-16</v>
      </c>
      <c r="I16" s="22">
        <f t="array" ref="I16">INDEX(Calculo!$I$2:$I$13,K16)</f>
        <v>5</v>
      </c>
      <c r="J16" s="22" t="str">
        <f t="shared" si="1"/>
        <v>Eliminado</v>
      </c>
      <c r="K16" s="22">
        <f t="array" ref="K16">INDEX(Calculo!$A$2:$A$13,MATCH(LARGE(Calculo!$J$2:$J$13,A16),Calculo!$J$2:$J$13,0))</f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5:J16">
    <cfRule type="expression" dxfId="0" priority="1">
      <formula>$A5&lt;=8</formula>
    </cfRule>
  </conditionalFormatting>
  <conditionalFormatting sqref="A5:J16">
    <cfRule type="expression" dxfId="1" priority="2">
      <formula>$A5&gt;8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2C4"/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7.0"/>
    <col customWidth="1" min="3" max="3" width="22.0"/>
    <col customWidth="1" min="4" max="5" width="8.0"/>
    <col customWidth="1" min="6" max="6" width="22.0"/>
    <col customWidth="1" min="7" max="7" width="7.0"/>
    <col customWidth="1" min="8" max="8" width="16.0"/>
    <col customWidth="1" min="9" max="9" width="22.0"/>
    <col customWidth="1" min="10" max="26" width="8.71"/>
  </cols>
  <sheetData>
    <row r="1">
      <c r="A1" s="1" t="s">
        <v>89</v>
      </c>
    </row>
    <row r="2">
      <c r="A2" s="2" t="s">
        <v>90</v>
      </c>
    </row>
    <row r="4">
      <c r="A4" s="3" t="s">
        <v>91</v>
      </c>
      <c r="B4" s="3" t="s">
        <v>92</v>
      </c>
      <c r="C4" s="3" t="s">
        <v>15</v>
      </c>
      <c r="D4" s="3" t="s">
        <v>93</v>
      </c>
      <c r="E4" s="3" t="s">
        <v>94</v>
      </c>
      <c r="F4" s="3" t="s">
        <v>21</v>
      </c>
      <c r="G4" s="3" t="s">
        <v>95</v>
      </c>
      <c r="H4" s="3" t="s">
        <v>96</v>
      </c>
      <c r="I4" s="3" t="s">
        <v>30</v>
      </c>
    </row>
    <row r="5">
      <c r="A5" s="22" t="s">
        <v>97</v>
      </c>
      <c r="B5" s="22">
        <v>1.0</v>
      </c>
      <c r="C5" s="34" t="str">
        <f>Tabla!$B$5</f>
        <v>Cardozo / Cardozo</v>
      </c>
      <c r="D5" s="18"/>
      <c r="E5" s="18"/>
      <c r="F5" s="34" t="str">
        <f>Tabla!$B$12</f>
        <v>Rodrigo / Nazareno</v>
      </c>
      <c r="G5" s="22">
        <v>8.0</v>
      </c>
      <c r="H5" s="18"/>
      <c r="I5" s="24" t="str">
        <f t="shared" ref="I5:I11" si="1">IF(OR(C5="",F5="",D5="",E5=""),"",IF(D5&gt;E5,C5,IF(E5&gt;D5,F5,"")))</f>
        <v/>
      </c>
    </row>
    <row r="6">
      <c r="A6" s="22" t="s">
        <v>98</v>
      </c>
      <c r="B6" s="22">
        <v>4.0</v>
      </c>
      <c r="C6" s="34" t="str">
        <f>Tabla!$B$8</f>
        <v>Blas / Agustin</v>
      </c>
      <c r="D6" s="18"/>
      <c r="E6" s="18"/>
      <c r="F6" s="34" t="str">
        <f>Tabla!$B$9</f>
        <v>Agustin / Rodrigo</v>
      </c>
      <c r="G6" s="22">
        <v>5.0</v>
      </c>
      <c r="H6" s="18"/>
      <c r="I6" s="24" t="str">
        <f t="shared" si="1"/>
        <v/>
      </c>
    </row>
    <row r="7">
      <c r="A7" s="22" t="s">
        <v>99</v>
      </c>
      <c r="B7" s="22">
        <v>2.0</v>
      </c>
      <c r="C7" s="34" t="str">
        <f>Tabla!$B$6</f>
        <v>Bautista / Luciano</v>
      </c>
      <c r="D7" s="18"/>
      <c r="E7" s="18"/>
      <c r="F7" s="34" t="str">
        <f>Tabla!$B$11</f>
        <v>Diego / (a confirmar)</v>
      </c>
      <c r="G7" s="22">
        <v>7.0</v>
      </c>
      <c r="H7" s="18"/>
      <c r="I7" s="24" t="str">
        <f t="shared" si="1"/>
        <v/>
      </c>
    </row>
    <row r="8">
      <c r="A8" s="22" t="s">
        <v>100</v>
      </c>
      <c r="B8" s="22">
        <v>3.0</v>
      </c>
      <c r="C8" s="34" t="str">
        <f>Tabla!$B$7</f>
        <v>Francisco / Marcos</v>
      </c>
      <c r="D8" s="18"/>
      <c r="E8" s="18"/>
      <c r="F8" s="34" t="str">
        <f>Tabla!$B$10</f>
        <v>Enzo / Gonza</v>
      </c>
      <c r="G8" s="22">
        <v>6.0</v>
      </c>
      <c r="H8" s="18"/>
      <c r="I8" s="24" t="str">
        <f t="shared" si="1"/>
        <v/>
      </c>
    </row>
    <row r="9">
      <c r="A9" s="22" t="s">
        <v>102</v>
      </c>
      <c r="B9" s="22"/>
      <c r="C9" s="34" t="str">
        <f>I5</f>
        <v/>
      </c>
      <c r="D9" s="18"/>
      <c r="E9" s="18"/>
      <c r="F9" s="34" t="str">
        <f>I6</f>
        <v/>
      </c>
      <c r="G9" s="22"/>
      <c r="H9" s="18"/>
      <c r="I9" s="24" t="str">
        <f t="shared" si="1"/>
        <v/>
      </c>
    </row>
    <row r="10">
      <c r="A10" s="22" t="s">
        <v>104</v>
      </c>
      <c r="B10" s="22"/>
      <c r="C10" s="34" t="str">
        <f>I7</f>
        <v/>
      </c>
      <c r="D10" s="18"/>
      <c r="E10" s="18"/>
      <c r="F10" s="34" t="str">
        <f>I8</f>
        <v/>
      </c>
      <c r="G10" s="22"/>
      <c r="H10" s="18"/>
      <c r="I10" s="24" t="str">
        <f t="shared" si="1"/>
        <v/>
      </c>
    </row>
    <row r="11">
      <c r="A11" s="22" t="s">
        <v>105</v>
      </c>
      <c r="B11" s="22"/>
      <c r="C11" s="34" t="str">
        <f>I9</f>
        <v/>
      </c>
      <c r="D11" s="18"/>
      <c r="E11" s="18"/>
      <c r="F11" s="34" t="str">
        <f>I10</f>
        <v/>
      </c>
      <c r="G11" s="22"/>
      <c r="H11" s="18"/>
      <c r="I11" s="24" t="str">
        <f t="shared" si="1"/>
        <v/>
      </c>
    </row>
    <row r="13">
      <c r="B13" s="35" t="s">
        <v>106</v>
      </c>
      <c r="C13" s="36" t="str">
        <f>IF(I11="","",I11)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6" width="8.71"/>
  </cols>
  <sheetData>
    <row r="1">
      <c r="A1" s="1" t="s">
        <v>101</v>
      </c>
    </row>
    <row r="2">
      <c r="A2" s="2" t="s">
        <v>103</v>
      </c>
    </row>
    <row r="4">
      <c r="A4" s="3" t="s">
        <v>27</v>
      </c>
    </row>
    <row r="5">
      <c r="A5" s="5" t="s">
        <v>72</v>
      </c>
    </row>
    <row r="6">
      <c r="A6" s="5" t="s">
        <v>73</v>
      </c>
    </row>
    <row r="7">
      <c r="A7" s="6" t="s">
        <v>74</v>
      </c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