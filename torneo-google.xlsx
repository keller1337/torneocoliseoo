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ejas" sheetId="1" state="visible" r:id="rId3"/>
    <sheet name="Suizo" sheetId="2" state="visible" r:id="rId4"/>
    <sheet name="Calculo" sheetId="3" state="hidden" r:id="rId5"/>
    <sheet name="Emparejar" sheetId="4" state="hidden" r:id="rId6"/>
    <sheet name="Tabla" sheetId="5" state="visible" r:id="rId7"/>
    <sheet name="Playoffs" sheetId="6" state="visible" r:id="rId8"/>
    <sheet name="Mapas" sheetId="7" state="visible" r:id="rId9"/>
    <sheet name="Web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<sst xmlns="http://schemas.openxmlformats.org/spreadsheetml/2006/main" count="184" uniqueCount="150">
  <si>
    <t xml:space="preserve">Coliseo Arena Gamer · CS2 Wingman 2v2</t>
  </si>
  <si>
    <t xml:space="preserve">Editá los nombres en amarillo. El ID no se cambia: los partidos usan el ID.</t>
  </si>
  <si>
    <t xml:space="preserve">ID</t>
  </si>
  <si>
    <t xml:space="preserve">Pareja (nombre corto)</t>
  </si>
  <si>
    <t xml:space="preserve">Jugador 1</t>
  </si>
  <si>
    <t xml:space="preserve">Jugador 2</t>
  </si>
  <si>
    <t xml:space="preserve">Cardozo / Cardozo</t>
  </si>
  <si>
    <t xml:space="preserve">José Cardozo</t>
  </si>
  <si>
    <t xml:space="preserve">Maximiliano Cardozo</t>
  </si>
  <si>
    <t xml:space="preserve">Blas / Agustin</t>
  </si>
  <si>
    <t xml:space="preserve">Blas Machado Susseret</t>
  </si>
  <si>
    <t xml:space="preserve">Agustin Chioraia</t>
  </si>
  <si>
    <t xml:space="preserve">Diego / (a confirmar)</t>
  </si>
  <si>
    <t xml:space="preserve">Diego Villan</t>
  </si>
  <si>
    <t xml:space="preserve">(a confirmar)</t>
  </si>
  <si>
    <t xml:space="preserve">Luciano / Gonzalo</t>
  </si>
  <si>
    <t xml:space="preserve">Luciano</t>
  </si>
  <si>
    <t xml:space="preserve">Gonzalo</t>
  </si>
  <si>
    <t xml:space="preserve">Francisco / Marcos</t>
  </si>
  <si>
    <t xml:space="preserve">Francisco</t>
  </si>
  <si>
    <t xml:space="preserve">Marcos</t>
  </si>
  <si>
    <t xml:space="preserve">Luciano / Lautaro</t>
  </si>
  <si>
    <t xml:space="preserve">Luciano Pua</t>
  </si>
  <si>
    <t xml:space="preserve">Lautaro Montes</t>
  </si>
  <si>
    <t xml:space="preserve">Simon / Joaquin</t>
  </si>
  <si>
    <t xml:space="preserve">Simon Cerra</t>
  </si>
  <si>
    <t xml:space="preserve">Joaquín Mucci</t>
  </si>
  <si>
    <t xml:space="preserve">Rodrigo / Nazareno</t>
  </si>
  <si>
    <t xml:space="preserve">Rodrigo Antonino</t>
  </si>
  <si>
    <t xml:space="preserve">Nazareno Acosta</t>
  </si>
  <si>
    <t xml:space="preserve">Bautista / Luciano</t>
  </si>
  <si>
    <t xml:space="preserve">Bautista Barrera</t>
  </si>
  <si>
    <t xml:space="preserve">Luciano Barrera</t>
  </si>
  <si>
    <t xml:space="preserve">Lucas / Martin</t>
  </si>
  <si>
    <t xml:space="preserve">Lucas Tissera</t>
  </si>
  <si>
    <t xml:space="preserve">Martín Rodríguez</t>
  </si>
  <si>
    <t xml:space="preserve">Agustin / Rodrigo</t>
  </si>
  <si>
    <t xml:space="preserve">Agustin Caceres</t>
  </si>
  <si>
    <t xml:space="preserve">Rodrigo Dimare</t>
  </si>
  <si>
    <t xml:space="preserve">Enzo / Gonza</t>
  </si>
  <si>
    <t xml:space="preserve">Enzo</t>
  </si>
  <si>
    <t xml:space="preserve">Gonza</t>
  </si>
  <si>
    <t xml:space="preserve">Pareja 13</t>
  </si>
  <si>
    <t xml:space="preserve">Pareja 14</t>
  </si>
  <si>
    <t xml:space="preserve">Pareja 15</t>
  </si>
  <si>
    <t xml:space="preserve">Pareja 16</t>
  </si>
  <si>
    <t xml:space="preserve">Fase suiza · 2 rondas · BO1</t>
  </si>
  <si>
    <t xml:space="preserve">Completá en amarillo: ID de cada pareja, rounds ganados y mapa. Wingman: gana quien llega a 9 rounds. No muevas las columnas.</t>
  </si>
  <si>
    <t xml:space="preserve">Partido</t>
  </si>
  <si>
    <t xml:space="preserve">Ronda</t>
  </si>
  <si>
    <t xml:space="preserve">ID A</t>
  </si>
  <si>
    <t xml:space="preserve">Pareja A</t>
  </si>
  <si>
    <t xml:space="preserve">Rounds A</t>
  </si>
  <si>
    <t xml:space="preserve">Rounds B</t>
  </si>
  <si>
    <t xml:space="preserve">Pareja B</t>
  </si>
  <si>
    <t xml:space="preserve">ID B</t>
  </si>
  <si>
    <t xml:space="preserve">Mapa</t>
  </si>
  <si>
    <t xml:space="preserve">Ganador</t>
  </si>
  <si>
    <t xml:space="preserve">id_ganador</t>
  </si>
  <si>
    <t xml:space="preserve">victorias_rival_A</t>
  </si>
  <si>
    <t xml:space="preserve">victorias_rival_B</t>
  </si>
  <si>
    <t xml:space="preserve">R1</t>
  </si>
  <si>
    <t xml:space="preserve">R2</t>
  </si>
  <si>
    <t xml:space="preserve">Ronda 1: sorteo al azar. Ronda 2: los cruces aparecen solos cuando termina la ronda 1 (mismo récord, sin repetir rival).</t>
  </si>
  <si>
    <t xml:space="preserve">Si querés cambiar un cruce a mano, escribí el ID encima (esa celda deja de ser automática).</t>
  </si>
  <si>
    <t xml:space="preserve">Si un partido termina 8-8, jueguen overtime y anotá el resultado final.</t>
  </si>
  <si>
    <t xml:space="preserve">Pareja</t>
  </si>
  <si>
    <t xml:space="preserve">PJ</t>
  </si>
  <si>
    <t xml:space="preserve">PG</t>
  </si>
  <si>
    <t xml:space="preserve">PP</t>
  </si>
  <si>
    <t xml:space="preserve">RF</t>
  </si>
  <si>
    <t xml:space="preserve">RC</t>
  </si>
  <si>
    <t xml:space="preserve">Dif</t>
  </si>
  <si>
    <t xml:space="preserve">Buchholz</t>
  </si>
  <si>
    <t xml:space="preserve">Clave orden</t>
  </si>
  <si>
    <t xml:space="preserve">Hoja de cálculo interna: no editar. Clave = PG &gt; Dif. rounds &gt; Buchholz &gt; Rounds a favor &gt; ID (desempate final).</t>
  </si>
  <si>
    <t xml:space="preserve">Ronda 2</t>
  </si>
  <si>
    <t xml:space="preserve">lista</t>
  </si>
  <si>
    <t xml:space="preserve">Clave</t>
  </si>
  <si>
    <t xml:space="preserve">Pos</t>
  </si>
  <si>
    <t xml:space="preserve">ID en pos</t>
  </si>
  <si>
    <t xml:space="preserve">Paso</t>
  </si>
  <si>
    <t xml:space="preserve">PosA</t>
  </si>
  <si>
    <t xml:space="preserve">PosB</t>
  </si>
  <si>
    <t xml:space="preserve">Tabla · Fase suiza</t>
  </si>
  <si>
    <t xml:space="preserve">Partidos jugados</t>
  </si>
  <si>
    <t xml:space="preserve">Se ordena sola. Pasan los 8 primeros (verde); quedan afuera 8 (rojo). Desempates: PG, diferencia de rounds, Buchholz, rounds a favor.</t>
  </si>
  <si>
    <t xml:space="preserve">Estado</t>
  </si>
  <si>
    <t xml:space="preserve">id</t>
  </si>
  <si>
    <t xml:space="preserve">Playoffs</t>
  </si>
  <si>
    <t xml:space="preserve">Se arman solos desde la tabla (1v8, 4v5, 2v7, 3v6). Cuartos, semis y final BO1: anotá los rounds de cada pareja.</t>
  </si>
  <si>
    <t xml:space="preserve">Llave</t>
  </si>
  <si>
    <t xml:space="preserve">Seed A</t>
  </si>
  <si>
    <t xml:space="preserve">Res. A</t>
  </si>
  <si>
    <t xml:space="preserve">Res. B</t>
  </si>
  <si>
    <t xml:space="preserve">Seed B</t>
  </si>
  <si>
    <t xml:space="preserve">Mapa(s)</t>
  </si>
  <si>
    <t xml:space="preserve">Cuartos 1</t>
  </si>
  <si>
    <t xml:space="preserve">Cuartos 2</t>
  </si>
  <si>
    <t xml:space="preserve">Cuartos 3</t>
  </si>
  <si>
    <t xml:space="preserve">Cuartos 4</t>
  </si>
  <si>
    <t xml:space="preserve">Semi 1</t>
  </si>
  <si>
    <t xml:space="preserve">Semi 2</t>
  </si>
  <si>
    <t xml:space="preserve">Final</t>
  </si>
  <si>
    <t xml:space="preserve">CAMPEÓN</t>
  </si>
  <si>
    <t xml:space="preserve">Pool de mapas</t>
  </si>
  <si>
    <t xml:space="preserve">Editá la lista según el pool Wingman que tengan activo en CS2. Aparece como desplegable en la columna Mapa.</t>
  </si>
  <si>
    <t xml:space="preserve">Inferno</t>
  </si>
  <si>
    <t xml:space="preserve">Nuke</t>
  </si>
  <si>
    <t xml:space="preserve">Overpass</t>
  </si>
  <si>
    <t xml:space="preserve">M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</si>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</sst>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D02C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DD02C4"/>
      <name val="Arial"/>
      <family val="0"/>
      <charset val="1"/>
    </font>
    <font>
      <b val="true"/>
      <sz val="14"/>
      <color rgb="FFDD02C4"/>
      <name val="Arial"/>
      <family val="0"/>
      <charset val="1"/>
    </font>
    <font>
      <b val="true"/>
      <sz val="1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0B0D"/>
        <bgColor rgb="FF000000"/>
      </patternFill>
    </fill>
    <fill>
      <patternFill patternType="solid">
        <fgColor rgb="FFFFF2A8"/>
        <bgColor rgb="FFEDEDF2"/>
      </patternFill>
    </fill>
    <fill>
      <patternFill patternType="solid">
        <fgColor rgb="FFFBE3F7"/>
        <bgColor rgb="FFEDEDF2"/>
      </patternFill>
    </fill>
    <fill>
      <patternFill patternType="solid">
        <fgColor rgb="FFEDEDF2"/>
        <bgColor rgb="FFFBE3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DD02C4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FB3B3"/>
        </patternFill>
      </fill>
    </dxf>
    <dxf>
      <font>
        <name val="Arial"/>
        <charset val="1"/>
        <family val="0"/>
        <i val="1"/>
        <color rgb="FF888888"/>
      </font>
    </dxf>
    <dxf>
      <fill>
        <patternFill>
          <bgColor rgb="FFC9F2D0"/>
        </patternFill>
      </fill>
    </dxf>
    <dxf>
      <fill>
        <patternFill>
          <bgColor rgb="FFF8CF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D02C4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DEDF2"/>
      <rgbColor rgb="FFCCFFFF"/>
      <rgbColor rgb="FF660066"/>
      <rgbColor rgb="FFFF8080"/>
      <rgbColor rgb="FF0066CC"/>
      <rgbColor rgb="FFFBE3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F2D0"/>
      <rgbColor rgb="FFFFF2A8"/>
      <rgbColor rgb="FF99CCFF"/>
      <rgbColor rgb="FFFFB3B3"/>
      <rgbColor rgb="FFCC99FF"/>
      <rgbColor rgb="FFF8CFCF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0B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5" t="s">
        <v>6</v>
      </c>
      <c r="C5" s="5" t="s">
        <v>7</v>
      </c>
      <c r="D5" s="5" t="s">
        <v>8</v>
      </c>
    </row>
    <row r="6" customFormat="false" ht="15" hidden="false" customHeight="false" outlineLevel="0" collapsed="false">
      <c r="A6" s="4" t="n">
        <v>2</v>
      </c>
      <c r="B6" s="5" t="s">
        <v>9</v>
      </c>
      <c r="C6" s="5" t="s">
        <v>10</v>
      </c>
      <c r="D6" s="5" t="s">
        <v>11</v>
      </c>
    </row>
    <row r="7" customFormat="false" ht="15" hidden="false" customHeight="false" outlineLevel="0" collapsed="false">
      <c r="A7" s="4" t="n">
        <v>3</v>
      </c>
      <c r="B7" s="5" t="s">
        <v>12</v>
      </c>
      <c r="C7" s="5" t="s">
        <v>13</v>
      </c>
      <c r="D7" s="5" t="s">
        <v>14</v>
      </c>
    </row>
    <row r="8" customFormat="false" ht="15" hidden="false" customHeight="false" outlineLevel="0" collapsed="false">
      <c r="A8" s="4" t="n">
        <v>4</v>
      </c>
      <c r="B8" s="5" t="s">
        <v>15</v>
      </c>
      <c r="C8" s="5" t="s">
        <v>16</v>
      </c>
      <c r="D8" s="5" t="s">
        <v>17</v>
      </c>
    </row>
    <row r="9" customFormat="false" ht="15" hidden="false" customHeight="false" outlineLevel="0" collapsed="false">
      <c r="A9" s="4" t="n">
        <v>5</v>
      </c>
      <c r="B9" s="5" t="s">
        <v>18</v>
      </c>
      <c r="C9" s="5" t="s">
        <v>19</v>
      </c>
      <c r="D9" s="5" t="s">
        <v>20</v>
      </c>
    </row>
    <row r="10" customFormat="false" ht="15" hidden="false" customHeight="false" outlineLevel="0" collapsed="false">
      <c r="A10" s="4" t="n">
        <v>6</v>
      </c>
      <c r="B10" s="5" t="s">
        <v>21</v>
      </c>
      <c r="C10" s="5" t="s">
        <v>22</v>
      </c>
      <c r="D10" s="5" t="s">
        <v>23</v>
      </c>
    </row>
    <row r="11" customFormat="false" ht="15" hidden="false" customHeight="false" outlineLevel="0" collapsed="false">
      <c r="A11" s="4" t="n">
        <v>7</v>
      </c>
      <c r="B11" s="5" t="s">
        <v>24</v>
      </c>
      <c r="C11" s="5" t="s">
        <v>25</v>
      </c>
      <c r="D11" s="5" t="s">
        <v>26</v>
      </c>
    </row>
    <row r="12" customFormat="false" ht="15" hidden="false" customHeight="false" outlineLevel="0" collapsed="false">
      <c r="A12" s="4" t="n">
        <v>8</v>
      </c>
      <c r="B12" s="5" t="s">
        <v>27</v>
      </c>
      <c r="C12" s="5" t="s">
        <v>28</v>
      </c>
      <c r="D12" s="5" t="s">
        <v>29</v>
      </c>
    </row>
    <row r="13" customFormat="false" ht="15" hidden="false" customHeight="false" outlineLevel="0" collapsed="false">
      <c r="A13" s="4" t="n">
        <v>9</v>
      </c>
      <c r="B13" s="5" t="s">
        <v>30</v>
      </c>
      <c r="C13" s="5" t="s">
        <v>31</v>
      </c>
      <c r="D13" s="5" t="s">
        <v>32</v>
      </c>
    </row>
    <row r="14" customFormat="false" ht="15" hidden="false" customHeight="false" outlineLevel="0" collapsed="false">
      <c r="A14" s="4" t="n">
        <v>10</v>
      </c>
      <c r="B14" s="5" t="s">
        <v>33</v>
      </c>
      <c r="C14" s="5" t="s">
        <v>34</v>
      </c>
      <c r="D14" s="5" t="s">
        <v>35</v>
      </c>
    </row>
    <row r="15" customFormat="false" ht="15" hidden="false" customHeight="false" outlineLevel="0" collapsed="false">
      <c r="A15" s="4" t="n">
        <v>11</v>
      </c>
      <c r="B15" s="5" t="s">
        <v>36</v>
      </c>
      <c r="C15" s="5" t="s">
        <v>37</v>
      </c>
      <c r="D15" s="5" t="s">
        <v>38</v>
      </c>
    </row>
    <row r="16" customFormat="false" ht="15" hidden="false" customHeight="false" outlineLevel="0" collapsed="false">
      <c r="A16" s="4" t="n">
        <v>12</v>
      </c>
      <c r="B16" s="5" t="s">
        <v>39</v>
      </c>
      <c r="C16" s="5" t="s">
        <v>40</v>
      </c>
      <c r="D16" s="5" t="s">
        <v>41</v>
      </c>
    </row>
    <row r="17" customFormat="false" ht="15" hidden="false" customHeight="false" outlineLevel="0" collapsed="false">
      <c r="A17" s="4" t="n">
        <v>13</v>
      </c>
      <c r="B17" s="5" t="s">
        <v>42</v>
      </c>
      <c r="C17" s="5"/>
      <c r="D17" s="5"/>
    </row>
    <row r="18" customFormat="false" ht="15" hidden="false" customHeight="false" outlineLevel="0" collapsed="false">
      <c r="A18" s="4" t="n">
        <v>14</v>
      </c>
      <c r="B18" s="5" t="s">
        <v>43</v>
      </c>
      <c r="C18" s="5"/>
      <c r="D18" s="5"/>
    </row>
    <row r="19" customFormat="false" ht="15" hidden="false" customHeight="false" outlineLevel="0" collapsed="false">
      <c r="A19" s="4" t="n">
        <v>15</v>
      </c>
      <c r="B19" s="5" t="s">
        <v>44</v>
      </c>
      <c r="C19" s="5"/>
      <c r="D19" s="5"/>
    </row>
    <row r="20" customFormat="false" ht="15" hidden="false" customHeight="false" outlineLevel="0" collapsed="false">
      <c r="A20" s="4" t="n">
        <v>16</v>
      </c>
      <c r="B20" s="5" t="s">
        <v>45</v>
      </c>
      <c r="C20" s="5"/>
      <c r="D2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02C4"/>
    <pageSetUpPr fitToPage="false"/>
  </sheetPr>
  <dimension ref="A1:M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true" outlineLevel="0" max="13" min="11" style="0" width="10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 t="s">
        <v>59</v>
      </c>
      <c r="M4" s="3" t="s">
        <v>60</v>
      </c>
    </row>
    <row r="5" customFormat="false" ht="15" hidden="false" customHeight="false" outlineLevel="0" collapsed="false">
      <c r="A5" s="6" t="n">
        <v>1</v>
      </c>
      <c r="B5" s="7" t="s">
        <v>61</v>
      </c>
      <c r="C5" s="8" t="n">
        <v>1</v>
      </c>
      <c r="D5" s="9" t="str">
        <f aca="false">IF(C5="","",INDEX(Parejas!$B$5:$B$20,C5))</f>
        <v>Cardozo / Cardozo</v>
      </c>
      <c r="E5" s="8"/>
      <c r="F5" s="8"/>
      <c r="G5" s="9" t="str">
        <f aca="false">IF(H5="","",INDEX(Parejas!$B$5:$B$20,H5))</f>
        <v>Simon / Joaquin</v>
      </c>
      <c r="H5" s="8" t="n">
        <v>7</v>
      </c>
      <c r="I5" s="8"/>
      <c r="J5" s="10" t="str">
        <f aca="false">IF(K5="",IF(AND(E5&lt;&gt;"",F5&lt;&gt;"",E5=F5),"EMPATE: jugar OT",""),INDEX(Parejas!$B$5:$B$20,K5))</f>
        <v/>
      </c>
      <c r="K5" s="11" t="str">
        <f aca="false">IF(OR(C5="",H5="",E5="",F5=""),"",IF(E5&gt;F5,C5,IF(F5&gt;E5,H5,"")))</f>
        <v/>
      </c>
      <c r="L5" s="11" t="str">
        <f aca="false">IF(K5="","",INDEX(Calculo!$D$2:$D$17,H5))</f>
        <v/>
      </c>
      <c r="M5" s="11" t="str">
        <f aca="false">IF(K5="","",INDEX(Calculo!$D$2:$D$17,C5))</f>
        <v/>
      </c>
    </row>
    <row r="6" customFormat="false" ht="15" hidden="false" customHeight="false" outlineLevel="0" collapsed="false">
      <c r="A6" s="12" t="n">
        <v>2</v>
      </c>
      <c r="B6" s="13" t="s">
        <v>61</v>
      </c>
      <c r="C6" s="14" t="n">
        <v>3</v>
      </c>
      <c r="D6" s="15" t="str">
        <f aca="false">IF(C6="","",INDEX(Parejas!$B$5:$B$20,C6))</f>
        <v>Diego / (a confirmar)</v>
      </c>
      <c r="E6" s="14"/>
      <c r="F6" s="14"/>
      <c r="G6" s="15" t="str">
        <f aca="false">IF(H6="","",INDEX(Parejas!$B$5:$B$20,H6))</f>
        <v>Luciano / Gonzalo</v>
      </c>
      <c r="H6" s="14" t="n">
        <v>4</v>
      </c>
      <c r="I6" s="14"/>
      <c r="J6" s="16" t="str">
        <f aca="false">IF(K6="",IF(AND(E6&lt;&gt;"",F6&lt;&gt;"",E6=F6),"EMPATE: jugar OT",""),INDEX(Parejas!$B$5:$B$20,K6))</f>
        <v/>
      </c>
      <c r="K6" s="17" t="str">
        <f aca="false">IF(OR(C6="",H6="",E6="",F6=""),"",IF(E6&gt;F6,C6,IF(F6&gt;E6,H6,"")))</f>
        <v/>
      </c>
      <c r="L6" s="17" t="str">
        <f aca="false">IF(K6="","",INDEX(Calculo!$D$2:$D$17,H6))</f>
        <v/>
      </c>
      <c r="M6" s="17" t="str">
        <f aca="false">IF(K6="","",INDEX(Calculo!$D$2:$D$17,C6))</f>
        <v/>
      </c>
    </row>
    <row r="7" customFormat="false" ht="15" hidden="false" customHeight="false" outlineLevel="0" collapsed="false">
      <c r="A7" s="12" t="n">
        <v>3</v>
      </c>
      <c r="B7" s="13" t="s">
        <v>61</v>
      </c>
      <c r="C7" s="14" t="n">
        <v>11</v>
      </c>
      <c r="D7" s="15" t="str">
        <f aca="false">IF(C7="","",INDEX(Parejas!$B$5:$B$20,C7))</f>
        <v>Agustin / Rodrigo</v>
      </c>
      <c r="E7" s="14"/>
      <c r="F7" s="14"/>
      <c r="G7" s="15" t="str">
        <f aca="false">IF(H7="","",INDEX(Parejas!$B$5:$B$20,H7))</f>
        <v>Francisco / Marcos</v>
      </c>
      <c r="H7" s="14" t="n">
        <v>5</v>
      </c>
      <c r="I7" s="14"/>
      <c r="J7" s="16" t="str">
        <f aca="false">IF(K7="",IF(AND(E7&lt;&gt;"",F7&lt;&gt;"",E7=F7),"EMPATE: jugar OT",""),INDEX(Parejas!$B$5:$B$20,K7))</f>
        <v/>
      </c>
      <c r="K7" s="17" t="str">
        <f aca="false">IF(OR(C7="",H7="",E7="",F7=""),"",IF(E7&gt;F7,C7,IF(F7&gt;E7,H7,"")))</f>
        <v/>
      </c>
      <c r="L7" s="17" t="str">
        <f aca="false">IF(K7="","",INDEX(Calculo!$D$2:$D$17,H7))</f>
        <v/>
      </c>
      <c r="M7" s="17" t="str">
        <f aca="false">IF(K7="","",INDEX(Calculo!$D$2:$D$17,C7))</f>
        <v/>
      </c>
    </row>
    <row r="8" customFormat="false" ht="15" hidden="false" customHeight="false" outlineLevel="0" collapsed="false">
      <c r="A8" s="12" t="n">
        <v>4</v>
      </c>
      <c r="B8" s="13" t="s">
        <v>61</v>
      </c>
      <c r="C8" s="14" t="n">
        <v>8</v>
      </c>
      <c r="D8" s="15" t="str">
        <f aca="false">IF(C8="","",INDEX(Parejas!$B$5:$B$20,C8))</f>
        <v>Rodrigo / Nazareno</v>
      </c>
      <c r="E8" s="14"/>
      <c r="F8" s="14"/>
      <c r="G8" s="15" t="str">
        <f aca="false">IF(H8="","",INDEX(Parejas!$B$5:$B$20,H8))</f>
        <v>Enzo / Gonza</v>
      </c>
      <c r="H8" s="14" t="n">
        <v>12</v>
      </c>
      <c r="I8" s="14"/>
      <c r="J8" s="16" t="str">
        <f aca="false">IF(K8="",IF(AND(E8&lt;&gt;"",F8&lt;&gt;"",E8=F8),"EMPATE: jugar OT",""),INDEX(Parejas!$B$5:$B$20,K8))</f>
        <v/>
      </c>
      <c r="K8" s="17" t="str">
        <f aca="false">IF(OR(C8="",H8="",E8="",F8=""),"",IF(E8&gt;F8,C8,IF(F8&gt;E8,H8,"")))</f>
        <v/>
      </c>
      <c r="L8" s="17" t="str">
        <f aca="false">IF(K8="","",INDEX(Calculo!$D$2:$D$17,H8))</f>
        <v/>
      </c>
      <c r="M8" s="17" t="str">
        <f aca="false">IF(K8="","",INDEX(Calculo!$D$2:$D$17,C8))</f>
        <v/>
      </c>
    </row>
    <row r="9" customFormat="false" ht="15" hidden="false" customHeight="false" outlineLevel="0" collapsed="false">
      <c r="A9" s="12" t="n">
        <v>5</v>
      </c>
      <c r="B9" s="13" t="s">
        <v>61</v>
      </c>
      <c r="C9" s="14" t="n">
        <v>10</v>
      </c>
      <c r="D9" s="15" t="str">
        <f aca="false">IF(C9="","",INDEX(Parejas!$B$5:$B$20,C9))</f>
        <v>Lucas / Martin</v>
      </c>
      <c r="E9" s="14"/>
      <c r="F9" s="14"/>
      <c r="G9" s="15" t="str">
        <f aca="false">IF(H9="","",INDEX(Parejas!$B$5:$B$20,H9))</f>
        <v>Bautista / Luciano</v>
      </c>
      <c r="H9" s="14" t="n">
        <v>9</v>
      </c>
      <c r="I9" s="14"/>
      <c r="J9" s="16" t="str">
        <f aca="false">IF(K9="",IF(AND(E9&lt;&gt;"",F9&lt;&gt;"",E9=F9),"EMPATE: jugar OT",""),INDEX(Parejas!$B$5:$B$20,K9))</f>
        <v/>
      </c>
      <c r="K9" s="17" t="str">
        <f aca="false">IF(OR(C9="",H9="",E9="",F9=""),"",IF(E9&gt;F9,C9,IF(F9&gt;E9,H9,"")))</f>
        <v/>
      </c>
      <c r="L9" s="17" t="str">
        <f aca="false">IF(K9="","",INDEX(Calculo!$D$2:$D$17,H9))</f>
        <v/>
      </c>
      <c r="M9" s="17" t="str">
        <f aca="false">IF(K9="","",INDEX(Calculo!$D$2:$D$17,C9))</f>
        <v/>
      </c>
    </row>
    <row r="10" customFormat="false" ht="15" hidden="false" customHeight="false" outlineLevel="0" collapsed="false">
      <c r="A10" s="12" t="n">
        <v>6</v>
      </c>
      <c r="B10" s="13" t="s">
        <v>61</v>
      </c>
      <c r="C10" s="14" t="n">
        <v>6</v>
      </c>
      <c r="D10" s="15" t="str">
        <f aca="false">IF(C10="","",INDEX(Parejas!$B$5:$B$20,C10))</f>
        <v>Luciano / Lautaro</v>
      </c>
      <c r="E10" s="14"/>
      <c r="F10" s="14"/>
      <c r="G10" s="15" t="str">
        <f aca="false">IF(H10="","",INDEX(Parejas!$B$5:$B$20,H10))</f>
        <v>Blas / Agustin</v>
      </c>
      <c r="H10" s="14" t="n">
        <v>2</v>
      </c>
      <c r="I10" s="14"/>
      <c r="J10" s="16" t="str">
        <f aca="false">IF(K10="",IF(AND(E10&lt;&gt;"",F10&lt;&gt;"",E10=F10),"EMPATE: jugar OT",""),INDEX(Parejas!$B$5:$B$20,K10))</f>
        <v/>
      </c>
      <c r="K10" s="17" t="str">
        <f aca="false">IF(OR(C10="",H10="",E10="",F10=""),"",IF(E10&gt;F10,C10,IF(F10&gt;E10,H10,"")))</f>
        <v/>
      </c>
      <c r="L10" s="17" t="str">
        <f aca="false">IF(K10="","",INDEX(Calculo!$D$2:$D$17,H10))</f>
        <v/>
      </c>
      <c r="M10" s="17" t="str">
        <f aca="false">IF(K10="","",INDEX(Calculo!$D$2:$D$17,C10))</f>
        <v/>
      </c>
    </row>
    <row r="11" customFormat="false" ht="15" hidden="false" customHeight="false" outlineLevel="0" collapsed="false">
      <c r="A11" s="12" t="n">
        <v>7</v>
      </c>
      <c r="B11" s="13" t="s">
        <v>61</v>
      </c>
      <c r="C11" s="14" t="n">
        <v>13</v>
      </c>
      <c r="D11" s="15" t="str">
        <f aca="false">IF(C11="","",INDEX(Parejas!$B$5:$B$20,C11))</f>
        <v>Pareja 13</v>
      </c>
      <c r="E11" s="14"/>
      <c r="F11" s="14"/>
      <c r="G11" s="15" t="str">
        <f aca="false">IF(H11="","",INDEX(Parejas!$B$5:$B$20,H11))</f>
        <v>Pareja 14</v>
      </c>
      <c r="H11" s="14" t="n">
        <v>14</v>
      </c>
      <c r="I11" s="14"/>
      <c r="J11" s="16" t="str">
        <f aca="false">IF(K11="",IF(AND(E11&lt;&gt;"",F11&lt;&gt;"",E11=F11),"EMPATE: jugar OT",""),INDEX(Parejas!$B$5:$B$20,K11))</f>
        <v/>
      </c>
      <c r="K11" s="17" t="str">
        <f aca="false">IF(OR(C11="",H11="",E11="",F11=""),"",IF(E11&gt;F11,C11,IF(F11&gt;E11,H11,"")))</f>
        <v/>
      </c>
      <c r="L11" s="17" t="str">
        <f aca="false">IF(K11="","",INDEX(Calculo!$D$2:$D$17,H11))</f>
        <v/>
      </c>
      <c r="M11" s="17" t="str">
        <f aca="false">IF(K11="","",INDEX(Calculo!$D$2:$D$17,C11))</f>
        <v/>
      </c>
    </row>
    <row r="12" customFormat="false" ht="15" hidden="false" customHeight="false" outlineLevel="0" collapsed="false">
      <c r="A12" s="12" t="n">
        <v>8</v>
      </c>
      <c r="B12" s="13" t="s">
        <v>61</v>
      </c>
      <c r="C12" s="14" t="n">
        <v>15</v>
      </c>
      <c r="D12" s="15" t="str">
        <f aca="false">IF(C12="","",INDEX(Parejas!$B$5:$B$20,C12))</f>
        <v>Pareja 15</v>
      </c>
      <c r="E12" s="14"/>
      <c r="F12" s="14"/>
      <c r="G12" s="15" t="str">
        <f aca="false">IF(H12="","",INDEX(Parejas!$B$5:$B$20,H12))</f>
        <v>Pareja 16</v>
      </c>
      <c r="H12" s="14" t="n">
        <v>16</v>
      </c>
      <c r="I12" s="14"/>
      <c r="J12" s="16" t="str">
        <f aca="false">IF(K12="",IF(AND(E12&lt;&gt;"",F12&lt;&gt;"",E12=F12),"EMPATE: jugar OT",""),INDEX(Parejas!$B$5:$B$20,K12))</f>
        <v/>
      </c>
      <c r="K12" s="17" t="str">
        <f aca="false">IF(OR(C12="",H12="",E12="",F12=""),"",IF(E12&gt;F12,C12,IF(F12&gt;E12,H12,"")))</f>
        <v/>
      </c>
      <c r="L12" s="17" t="str">
        <f aca="false">IF(K12="","",INDEX(Calculo!$D$2:$D$17,H12))</f>
        <v/>
      </c>
      <c r="M12" s="17" t="str">
        <f aca="false">IF(K12="","",INDEX(Calculo!$D$2:$D$17,C12))</f>
        <v/>
      </c>
    </row>
    <row r="13" customFormat="false" ht="15" hidden="false" customHeight="false" outlineLevel="0" collapsed="false">
      <c r="A13" s="18" t="n">
        <v>9</v>
      </c>
      <c r="B13" s="19" t="s">
        <v>62</v>
      </c>
      <c r="C13" s="18" t="str">
        <f aca="false">IF(Emparejar!$D$1=1,Emparejar!$D$21,"")</f>
        <v/>
      </c>
      <c r="D13" s="20" t="str">
        <f aca="false">IF(C13&lt;&gt;"",INDEX(Parejas!$B$5:$B$20,C13),"Esperando ronda 1: faltan "&amp;(8-COUNTIF($K$5:$K$12,"&gt;0"))&amp;" ganador(es)")</f>
        <v>Esperando ronda 1: faltan 8 ganador(es)</v>
      </c>
      <c r="E13" s="8"/>
      <c r="F13" s="8"/>
      <c r="G13" s="20" t="str">
        <f aca="false">IF(H13&lt;&gt;"",INDEX(Parejas!$B$5:$B$20,H13),IF(SUMPRODUCT(($E$5:$E$12&lt;&gt;"")*($F$5:$F$12&lt;&gt;"")*($E$5:$E$12=$F$5:$F$12))&gt;0,"Hay empate: anotá el OT (ej. 10-8)",""))</f>
        <v/>
      </c>
      <c r="H13" s="18" t="str">
        <f aca="false">IF(Emparejar!$D$1=1,Emparejar!$E$21,"")</f>
        <v/>
      </c>
      <c r="I13" s="8"/>
      <c r="J13" s="21" t="str">
        <f aca="false">IF(K13="",IF(AND(E13&lt;&gt;"",F13&lt;&gt;"",E13=F13),"EMPATE: jugar OT",""),INDEX(Parejas!$B$5:$B$20,K13))</f>
        <v/>
      </c>
      <c r="K13" s="11" t="str">
        <f aca="false">IF(OR(C13="",H13="",E13="",F13=""),"",IF(E13&gt;F13,C13,IF(F13&gt;E13,H13,"")))</f>
        <v/>
      </c>
      <c r="L13" s="11" t="str">
        <f aca="false">IF(K13="","",INDEX(Calculo!$D$2:$D$17,H13))</f>
        <v/>
      </c>
      <c r="M13" s="11" t="str">
        <f aca="false">IF(K13="","",INDEX(Calculo!$D$2:$D$17,C13))</f>
        <v/>
      </c>
    </row>
    <row r="14" customFormat="false" ht="15" hidden="false" customHeight="false" outlineLevel="0" collapsed="false">
      <c r="A14" s="22" t="n">
        <v>10</v>
      </c>
      <c r="B14" s="23" t="s">
        <v>62</v>
      </c>
      <c r="C14" s="22" t="str">
        <f aca="false">IF(Emparejar!$D$1=1,Emparejar!$D$22,"")</f>
        <v/>
      </c>
      <c r="D14" s="24" t="str">
        <f aca="false">IF(C14&lt;&gt;"",INDEX(Parejas!$B$5:$B$20,C14),"Esperando ronda 1: faltan "&amp;(8-COUNTIF($K$5:$K$12,"&gt;0"))&amp;" ganador(es)")</f>
        <v>Esperando ronda 1: faltan 8 ganador(es)</v>
      </c>
      <c r="E14" s="14"/>
      <c r="F14" s="14"/>
      <c r="G14" s="24" t="str">
        <f aca="false">IF(H14&lt;&gt;"",INDEX(Parejas!$B$5:$B$20,H14),IF(SUMPRODUCT(($E$5:$E$12&lt;&gt;"")*($F$5:$F$12&lt;&gt;"")*($E$5:$E$12=$F$5:$F$12))&gt;0,"Hay empate: anotá el OT (ej. 10-8)",""))</f>
        <v/>
      </c>
      <c r="H14" s="22" t="str">
        <f aca="false">IF(Emparejar!$D$1=1,Emparejar!$E$22,"")</f>
        <v/>
      </c>
      <c r="I14" s="14"/>
      <c r="J14" s="25" t="str">
        <f aca="false">IF(K14="",IF(AND(E14&lt;&gt;"",F14&lt;&gt;"",E14=F14),"EMPATE: jugar OT",""),INDEX(Parejas!$B$5:$B$20,K14))</f>
        <v/>
      </c>
      <c r="K14" s="17" t="str">
        <f aca="false">IF(OR(C14="",H14="",E14="",F14=""),"",IF(E14&gt;F14,C14,IF(F14&gt;E14,H14,"")))</f>
        <v/>
      </c>
      <c r="L14" s="17" t="str">
        <f aca="false">IF(K14="","",INDEX(Calculo!$D$2:$D$17,H14))</f>
        <v/>
      </c>
      <c r="M14" s="17" t="str">
        <f aca="false">IF(K14="","",INDEX(Calculo!$D$2:$D$17,C14))</f>
        <v/>
      </c>
    </row>
    <row r="15" customFormat="false" ht="15" hidden="false" customHeight="false" outlineLevel="0" collapsed="false">
      <c r="A15" s="22" t="n">
        <v>11</v>
      </c>
      <c r="B15" s="23" t="s">
        <v>62</v>
      </c>
      <c r="C15" s="22" t="str">
        <f aca="false">IF(Emparejar!$D$1=1,Emparejar!$D$23,"")</f>
        <v/>
      </c>
      <c r="D15" s="24" t="str">
        <f aca="false">IF(C15&lt;&gt;"",INDEX(Parejas!$B$5:$B$20,C15),"Esperando ronda 1: faltan "&amp;(8-COUNTIF($K$5:$K$12,"&gt;0"))&amp;" ganador(es)")</f>
        <v>Esperando ronda 1: faltan 8 ganador(es)</v>
      </c>
      <c r="E15" s="14"/>
      <c r="F15" s="14"/>
      <c r="G15" s="24" t="str">
        <f aca="false">IF(H15&lt;&gt;"",INDEX(Parejas!$B$5:$B$20,H15),IF(SUMPRODUCT(($E$5:$E$12&lt;&gt;"")*($F$5:$F$12&lt;&gt;"")*($E$5:$E$12=$F$5:$F$12))&gt;0,"Hay empate: anotá el OT (ej. 10-8)",""))</f>
        <v/>
      </c>
      <c r="H15" s="22" t="str">
        <f aca="false">IF(Emparejar!$D$1=1,Emparejar!$E$23,"")</f>
        <v/>
      </c>
      <c r="I15" s="14"/>
      <c r="J15" s="25" t="str">
        <f aca="false">IF(K15="",IF(AND(E15&lt;&gt;"",F15&lt;&gt;"",E15=F15),"EMPATE: jugar OT",""),INDEX(Parejas!$B$5:$B$20,K15))</f>
        <v/>
      </c>
      <c r="K15" s="17" t="str">
        <f aca="false">IF(OR(C15="",H15="",E15="",F15=""),"",IF(E15&gt;F15,C15,IF(F15&gt;E15,H15,"")))</f>
        <v/>
      </c>
      <c r="L15" s="17" t="str">
        <f aca="false">IF(K15="","",INDEX(Calculo!$D$2:$D$17,H15))</f>
        <v/>
      </c>
      <c r="M15" s="17" t="str">
        <f aca="false">IF(K15="","",INDEX(Calculo!$D$2:$D$17,C15))</f>
        <v/>
      </c>
    </row>
    <row r="16" customFormat="false" ht="15" hidden="false" customHeight="false" outlineLevel="0" collapsed="false">
      <c r="A16" s="22" t="n">
        <v>12</v>
      </c>
      <c r="B16" s="23" t="s">
        <v>62</v>
      </c>
      <c r="C16" s="22" t="str">
        <f aca="false">IF(Emparejar!$D$1=1,Emparejar!$D$24,"")</f>
        <v/>
      </c>
      <c r="D16" s="24" t="str">
        <f aca="false">IF(C16&lt;&gt;"",INDEX(Parejas!$B$5:$B$20,C16),"Esperando ronda 1: faltan "&amp;(8-COUNTIF($K$5:$K$12,"&gt;0"))&amp;" ganador(es)")</f>
        <v>Esperando ronda 1: faltan 8 ganador(es)</v>
      </c>
      <c r="E16" s="14"/>
      <c r="F16" s="14"/>
      <c r="G16" s="24" t="str">
        <f aca="false">IF(H16&lt;&gt;"",INDEX(Parejas!$B$5:$B$20,H16),IF(SUMPRODUCT(($E$5:$E$12&lt;&gt;"")*($F$5:$F$12&lt;&gt;"")*($E$5:$E$12=$F$5:$F$12))&gt;0,"Hay empate: anotá el OT (ej. 10-8)",""))</f>
        <v/>
      </c>
      <c r="H16" s="22" t="str">
        <f aca="false">IF(Emparejar!$D$1=1,Emparejar!$E$24,"")</f>
        <v/>
      </c>
      <c r="I16" s="14"/>
      <c r="J16" s="25" t="str">
        <f aca="false">IF(K16="",IF(AND(E16&lt;&gt;"",F16&lt;&gt;"",E16=F16),"EMPATE: jugar OT",""),INDEX(Parejas!$B$5:$B$20,K16))</f>
        <v/>
      </c>
      <c r="K16" s="17" t="str">
        <f aca="false">IF(OR(C16="",H16="",E16="",F16=""),"",IF(E16&gt;F16,C16,IF(F16&gt;E16,H16,"")))</f>
        <v/>
      </c>
      <c r="L16" s="17" t="str">
        <f aca="false">IF(K16="","",INDEX(Calculo!$D$2:$D$17,H16))</f>
        <v/>
      </c>
      <c r="M16" s="17" t="str">
        <f aca="false">IF(K16="","",INDEX(Calculo!$D$2:$D$17,C16))</f>
        <v/>
      </c>
    </row>
    <row r="17" customFormat="false" ht="15" hidden="false" customHeight="false" outlineLevel="0" collapsed="false">
      <c r="A17" s="22" t="n">
        <v>13</v>
      </c>
      <c r="B17" s="23" t="s">
        <v>62</v>
      </c>
      <c r="C17" s="22" t="str">
        <f aca="false">IF(Emparejar!$D$1=1,Emparejar!$D$25,"")</f>
        <v/>
      </c>
      <c r="D17" s="24" t="str">
        <f aca="false">IF(C17&lt;&gt;"",INDEX(Parejas!$B$5:$B$20,C17),"Esperando ronda 1: faltan "&amp;(8-COUNTIF($K$5:$K$12,"&gt;0"))&amp;" ganador(es)")</f>
        <v>Esperando ronda 1: faltan 8 ganador(es)</v>
      </c>
      <c r="E17" s="14"/>
      <c r="F17" s="14"/>
      <c r="G17" s="24" t="str">
        <f aca="false">IF(H17&lt;&gt;"",INDEX(Parejas!$B$5:$B$20,H17),IF(SUMPRODUCT(($E$5:$E$12&lt;&gt;"")*($F$5:$F$12&lt;&gt;"")*($E$5:$E$12=$F$5:$F$12))&gt;0,"Hay empate: anotá el OT (ej. 10-8)",""))</f>
        <v/>
      </c>
      <c r="H17" s="22" t="str">
        <f aca="false">IF(Emparejar!$D$1=1,Emparejar!$E$25,"")</f>
        <v/>
      </c>
      <c r="I17" s="14"/>
      <c r="J17" s="25" t="str">
        <f aca="false">IF(K17="",IF(AND(E17&lt;&gt;"",F17&lt;&gt;"",E17=F17),"EMPATE: jugar OT",""),INDEX(Parejas!$B$5:$B$20,K17))</f>
        <v/>
      </c>
      <c r="K17" s="17" t="str">
        <f aca="false">IF(OR(C17="",H17="",E17="",F17=""),"",IF(E17&gt;F17,C17,IF(F17&gt;E17,H17,"")))</f>
        <v/>
      </c>
      <c r="L17" s="17" t="str">
        <f aca="false">IF(K17="","",INDEX(Calculo!$D$2:$D$17,H17))</f>
        <v/>
      </c>
      <c r="M17" s="17" t="str">
        <f aca="false">IF(K17="","",INDEX(Calculo!$D$2:$D$17,C17))</f>
        <v/>
      </c>
    </row>
    <row r="18" customFormat="false" ht="15" hidden="false" customHeight="false" outlineLevel="0" collapsed="false">
      <c r="A18" s="22" t="n">
        <v>14</v>
      </c>
      <c r="B18" s="23" t="s">
        <v>62</v>
      </c>
      <c r="C18" s="22" t="str">
        <f aca="false">IF(Emparejar!$D$1=1,Emparejar!$D$26,"")</f>
        <v/>
      </c>
      <c r="D18" s="24" t="str">
        <f aca="false">IF(C18&lt;&gt;"",INDEX(Parejas!$B$5:$B$20,C18),"Esperando ronda 1: faltan "&amp;(8-COUNTIF($K$5:$K$12,"&gt;0"))&amp;" ganador(es)")</f>
        <v>Esperando ronda 1: faltan 8 ganador(es)</v>
      </c>
      <c r="E18" s="14"/>
      <c r="F18" s="14"/>
      <c r="G18" s="24" t="str">
        <f aca="false">IF(H18&lt;&gt;"",INDEX(Parejas!$B$5:$B$20,H18),IF(SUMPRODUCT(($E$5:$E$12&lt;&gt;"")*($F$5:$F$12&lt;&gt;"")*($E$5:$E$12=$F$5:$F$12))&gt;0,"Hay empate: anotá el OT (ej. 10-8)",""))</f>
        <v/>
      </c>
      <c r="H18" s="22" t="str">
        <f aca="false">IF(Emparejar!$D$1=1,Emparejar!$E$26,"")</f>
        <v/>
      </c>
      <c r="I18" s="14"/>
      <c r="J18" s="25" t="str">
        <f aca="false">IF(K18="",IF(AND(E18&lt;&gt;"",F18&lt;&gt;"",E18=F18),"EMPATE: jugar OT",""),INDEX(Parejas!$B$5:$B$20,K18))</f>
        <v/>
      </c>
      <c r="K18" s="17" t="str">
        <f aca="false">IF(OR(C18="",H18="",E18="",F18=""),"",IF(E18&gt;F18,C18,IF(F18&gt;E18,H18,"")))</f>
        <v/>
      </c>
      <c r="L18" s="17" t="str">
        <f aca="false">IF(K18="","",INDEX(Calculo!$D$2:$D$17,H18))</f>
        <v/>
      </c>
      <c r="M18" s="17" t="str">
        <f aca="false">IF(K18="","",INDEX(Calculo!$D$2:$D$17,C18))</f>
        <v/>
      </c>
    </row>
    <row r="19" customFormat="false" ht="15" hidden="false" customHeight="false" outlineLevel="0" collapsed="false">
      <c r="A19" s="22" t="n">
        <v>15</v>
      </c>
      <c r="B19" s="23" t="s">
        <v>62</v>
      </c>
      <c r="C19" s="22" t="str">
        <f aca="false">IF(Emparejar!$D$1=1,Emparejar!$D$27,"")</f>
        <v/>
      </c>
      <c r="D19" s="24" t="str">
        <f aca="false">IF(C19&lt;&gt;"",INDEX(Parejas!$B$5:$B$20,C19),"Esperando ronda 1: faltan "&amp;(8-COUNTIF($K$5:$K$12,"&gt;0"))&amp;" ganador(es)")</f>
        <v>Esperando ronda 1: faltan 8 ganador(es)</v>
      </c>
      <c r="E19" s="14"/>
      <c r="F19" s="14"/>
      <c r="G19" s="24" t="str">
        <f aca="false">IF(H19&lt;&gt;"",INDEX(Parejas!$B$5:$B$20,H19),IF(SUMPRODUCT(($E$5:$E$12&lt;&gt;"")*($F$5:$F$12&lt;&gt;"")*($E$5:$E$12=$F$5:$F$12))&gt;0,"Hay empate: anotá el OT (ej. 10-8)",""))</f>
        <v/>
      </c>
      <c r="H19" s="22" t="str">
        <f aca="false">IF(Emparejar!$D$1=1,Emparejar!$E$27,"")</f>
        <v/>
      </c>
      <c r="I19" s="14"/>
      <c r="J19" s="25" t="str">
        <f aca="false">IF(K19="",IF(AND(E19&lt;&gt;"",F19&lt;&gt;"",E19=F19),"EMPATE: jugar OT",""),INDEX(Parejas!$B$5:$B$20,K19))</f>
        <v/>
      </c>
      <c r="K19" s="17" t="str">
        <f aca="false">IF(OR(C19="",H19="",E19="",F19=""),"",IF(E19&gt;F19,C19,IF(F19&gt;E19,H19,"")))</f>
        <v/>
      </c>
      <c r="L19" s="17" t="str">
        <f aca="false">IF(K19="","",INDEX(Calculo!$D$2:$D$17,H19))</f>
        <v/>
      </c>
      <c r="M19" s="17" t="str">
        <f aca="false">IF(K19="","",INDEX(Calculo!$D$2:$D$17,C19))</f>
        <v/>
      </c>
    </row>
    <row r="20" customFormat="false" ht="15" hidden="false" customHeight="false" outlineLevel="0" collapsed="false">
      <c r="A20" s="22" t="n">
        <v>16</v>
      </c>
      <c r="B20" s="23" t="s">
        <v>62</v>
      </c>
      <c r="C20" s="22" t="str">
        <f aca="false">IF(Emparejar!$D$1=1,Emparejar!$D$28,"")</f>
        <v/>
      </c>
      <c r="D20" s="24" t="str">
        <f aca="false">IF(C20&lt;&gt;"",INDEX(Parejas!$B$5:$B$20,C20),"Esperando ronda 1: faltan "&amp;(8-COUNTIF($K$5:$K$12,"&gt;0"))&amp;" ganador(es)")</f>
        <v>Esperando ronda 1: faltan 8 ganador(es)</v>
      </c>
      <c r="E20" s="14"/>
      <c r="F20" s="14"/>
      <c r="G20" s="24" t="str">
        <f aca="false">IF(H20&lt;&gt;"",INDEX(Parejas!$B$5:$B$20,H20),IF(SUMPRODUCT(($E$5:$E$12&lt;&gt;"")*($F$5:$F$12&lt;&gt;"")*($E$5:$E$12=$F$5:$F$12))&gt;0,"Hay empate: anotá el OT (ej. 10-8)",""))</f>
        <v/>
      </c>
      <c r="H20" s="22" t="str">
        <f aca="false">IF(Emparejar!$D$1=1,Emparejar!$E$28,"")</f>
        <v/>
      </c>
      <c r="I20" s="14"/>
      <c r="J20" s="25" t="str">
        <f aca="false">IF(K20="",IF(AND(E20&lt;&gt;"",F20&lt;&gt;"",E20=F20),"EMPATE: jugar OT",""),INDEX(Parejas!$B$5:$B$20,K20))</f>
        <v/>
      </c>
      <c r="K20" s="17" t="str">
        <f aca="false">IF(OR(C20="",H20="",E20="",F20=""),"",IF(E20&gt;F20,C20,IF(F20&gt;E20,H20,"")))</f>
        <v/>
      </c>
      <c r="L20" s="17" t="str">
        <f aca="false">IF(K20="","",INDEX(Calculo!$D$2:$D$17,H20))</f>
        <v/>
      </c>
      <c r="M20" s="17" t="str">
        <f aca="false">IF(K20="","",INDEX(Calculo!$D$2:$D$17,C20))</f>
        <v/>
      </c>
    </row>
    <row r="22" customFormat="false" ht="15" hidden="false" customHeight="false" outlineLevel="0" collapsed="false">
      <c r="A22" s="2" t="s">
        <v>63</v>
      </c>
    </row>
    <row r="23" customFormat="false" ht="15" hidden="false" customHeight="false" outlineLevel="0" collapsed="false">
      <c r="A23" s="2" t="s">
        <v>64</v>
      </c>
    </row>
    <row r="24" customFormat="false" ht="15" hidden="false" customHeight="false" outlineLevel="0" collapsed="false">
      <c r="A24" s="2" t="s">
        <v>65</v>
      </c>
    </row>
  </sheetData>
  <conditionalFormatting sqref="A5:J20">
    <cfRule type="expression" priority="2" aboveAverage="0" equalAverage="0" bottom="0" percent="0" rank="0" text="" dxfId="0">
      <formula>ISNUMBER(SEARCH("EMPATE",$J5))</formula>
    </cfRule>
  </conditionalFormatting>
  <conditionalFormatting sqref="D5:G20">
    <cfRule type="expression" priority="3" aboveAverage="0" equalAverage="0" bottom="0" percent="0" rank="0" text="" dxfId="1">
      <formula>$C5=""</formula>
    </cfRule>
  </conditionalFormatting>
  <dataValidations count="3">
    <dataValidation allowBlank="true" error="ID de pareja entre 1 y 16" errorStyle="stop" operator="between" showDropDown="false" showErrorMessage="true" showInputMessage="false" sqref="C5:C20 H5:H20" type="whole">
      <formula1>1</formula1>
      <formula2>16</formula2>
    </dataValidation>
    <dataValidation allowBlank="true" errorStyle="stop" operator="between" showDropDown="false" showErrorMessage="false" showInputMessage="false" sqref="E5:F20" type="whole">
      <formula1>0</formula1>
      <formula2>30</formula2>
    </dataValidation>
    <dataValidation allowBlank="true" errorStyle="stop" operator="between" showDropDown="false" showErrorMessage="false" showInputMessage="false" sqref="I5:I20" type="list">
      <formula1>Mapas!$A$5:$A$14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8" min="3" style="0" width="6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3" t="s">
        <v>2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</row>
    <row r="2" customFormat="false" ht="15" hidden="false" customHeight="false" outlineLevel="0" collapsed="false">
      <c r="A2" s="26" t="n">
        <v>1</v>
      </c>
      <c r="B2" s="26" t="str">
        <f aca="false">INDEX(Parejas!$B$5:$B$20,A2)</f>
        <v>Cardozo / Cardozo</v>
      </c>
      <c r="C2" s="26" t="n">
        <f aca="false">COUNTIFS(Suizo!$C$5:$C$20,A2,Suizo!$K$5:$K$20,"&gt;0")+COUNTIFS(Suizo!$H$5:$H$20,A2,Suizo!$K$5:$K$20,"&gt;0")</f>
        <v>0</v>
      </c>
      <c r="D2" s="26" t="n">
        <f aca="false">COUNTIF(Suizo!$K$5:$K$20,A2)</f>
        <v>0</v>
      </c>
      <c r="E2" s="26" t="n">
        <f aca="false">C2-D2</f>
        <v>0</v>
      </c>
      <c r="F2" s="26" t="n">
        <f aca="false">SUMIFS(Suizo!$E$5:$E$20,Suizo!$C$5:$C$20,A2,Suizo!$K$5:$K$20,"&gt;0")+SUMIFS(Suizo!$F$5:$F$20,Suizo!$H$5:$H$20,A2,Suizo!$K$5:$K$20,"&gt;0")</f>
        <v>0</v>
      </c>
      <c r="G2" s="26" t="n">
        <f aca="false">SUMIFS(Suizo!$F$5:$F$20,Suizo!$C$5:$C$20,A2,Suizo!$K$5:$K$20,"&gt;0")+SUMIFS(Suizo!$E$5:$E$20,Suizo!$H$5:$H$20,A2,Suizo!$K$5:$K$20,"&gt;0")</f>
        <v>0</v>
      </c>
      <c r="H2" s="26" t="n">
        <f aca="false">F2-G2</f>
        <v>0</v>
      </c>
      <c r="I2" s="26" t="n">
        <f aca="false">SUMIFS(Suizo!$L$5:$L$20,Suizo!$C$5:$C$20,A2)+SUMIFS(Suizo!$M$5:$M$20,Suizo!$H$5:$H$20,A2)</f>
        <v>0</v>
      </c>
      <c r="J2" s="26" t="n">
        <f aca="false">D2*1000000000+(H2+500)*1000000+I2*10000+F2*10-A2/100</f>
        <v>499999999.99</v>
      </c>
    </row>
    <row r="3" customFormat="false" ht="15" hidden="false" customHeight="false" outlineLevel="0" collapsed="false">
      <c r="A3" s="26" t="n">
        <v>2</v>
      </c>
      <c r="B3" s="26" t="str">
        <f aca="false">INDEX(Parejas!$B$5:$B$20,A3)</f>
        <v>Blas / Agustin</v>
      </c>
      <c r="C3" s="26" t="n">
        <f aca="false">COUNTIFS(Suizo!$C$5:$C$20,A3,Suizo!$K$5:$K$20,"&gt;0")+COUNTIFS(Suizo!$H$5:$H$20,A3,Suizo!$K$5:$K$20,"&gt;0")</f>
        <v>0</v>
      </c>
      <c r="D3" s="26" t="n">
        <f aca="false">COUNTIF(Suizo!$K$5:$K$20,A3)</f>
        <v>0</v>
      </c>
      <c r="E3" s="26" t="n">
        <f aca="false">C3-D3</f>
        <v>0</v>
      </c>
      <c r="F3" s="26" t="n">
        <f aca="false">SUMIFS(Suizo!$E$5:$E$20,Suizo!$C$5:$C$20,A3,Suizo!$K$5:$K$20,"&gt;0")+SUMIFS(Suizo!$F$5:$F$20,Suizo!$H$5:$H$20,A3,Suizo!$K$5:$K$20,"&gt;0")</f>
        <v>0</v>
      </c>
      <c r="G3" s="26" t="n">
        <f aca="false">SUMIFS(Suizo!$F$5:$F$20,Suizo!$C$5:$C$20,A3,Suizo!$K$5:$K$20,"&gt;0")+SUMIFS(Suizo!$E$5:$E$20,Suizo!$H$5:$H$20,A3,Suizo!$K$5:$K$20,"&gt;0")</f>
        <v>0</v>
      </c>
      <c r="H3" s="26" t="n">
        <f aca="false">F3-G3</f>
        <v>0</v>
      </c>
      <c r="I3" s="26" t="n">
        <f aca="false">SUMIFS(Suizo!$L$5:$L$20,Suizo!$C$5:$C$20,A3)+SUMIFS(Suizo!$M$5:$M$20,Suizo!$H$5:$H$20,A3)</f>
        <v>0</v>
      </c>
      <c r="J3" s="26" t="n">
        <f aca="false">D3*1000000000+(H3+500)*1000000+I3*10000+F3*10-A3/100</f>
        <v>499999999.98</v>
      </c>
    </row>
    <row r="4" customFormat="false" ht="15" hidden="false" customHeight="false" outlineLevel="0" collapsed="false">
      <c r="A4" s="26" t="n">
        <v>3</v>
      </c>
      <c r="B4" s="26" t="str">
        <f aca="false">INDEX(Parejas!$B$5:$B$20,A4)</f>
        <v>Diego / (a confirmar)</v>
      </c>
      <c r="C4" s="26" t="n">
        <f aca="false">COUNTIFS(Suizo!$C$5:$C$20,A4,Suizo!$K$5:$K$20,"&gt;0")+COUNTIFS(Suizo!$H$5:$H$20,A4,Suizo!$K$5:$K$20,"&gt;0")</f>
        <v>0</v>
      </c>
      <c r="D4" s="26" t="n">
        <f aca="false">COUNTIF(Suizo!$K$5:$K$20,A4)</f>
        <v>0</v>
      </c>
      <c r="E4" s="26" t="n">
        <f aca="false">C4-D4</f>
        <v>0</v>
      </c>
      <c r="F4" s="26" t="n">
        <f aca="false">SUMIFS(Suizo!$E$5:$E$20,Suizo!$C$5:$C$20,A4,Suizo!$K$5:$K$20,"&gt;0")+SUMIFS(Suizo!$F$5:$F$20,Suizo!$H$5:$H$20,A4,Suizo!$K$5:$K$20,"&gt;0")</f>
        <v>0</v>
      </c>
      <c r="G4" s="26" t="n">
        <f aca="false">SUMIFS(Suizo!$F$5:$F$20,Suizo!$C$5:$C$20,A4,Suizo!$K$5:$K$20,"&gt;0")+SUMIFS(Suizo!$E$5:$E$20,Suizo!$H$5:$H$20,A4,Suizo!$K$5:$K$20,"&gt;0")</f>
        <v>0</v>
      </c>
      <c r="H4" s="26" t="n">
        <f aca="false">F4-G4</f>
        <v>0</v>
      </c>
      <c r="I4" s="26" t="n">
        <f aca="false">SUMIFS(Suizo!$L$5:$L$20,Suizo!$C$5:$C$20,A4)+SUMIFS(Suizo!$M$5:$M$20,Suizo!$H$5:$H$20,A4)</f>
        <v>0</v>
      </c>
      <c r="J4" s="26" t="n">
        <f aca="false">D4*1000000000+(H4+500)*1000000+I4*10000+F4*10-A4/100</f>
        <v>499999999.97</v>
      </c>
    </row>
    <row r="5" customFormat="false" ht="15" hidden="false" customHeight="false" outlineLevel="0" collapsed="false">
      <c r="A5" s="26" t="n">
        <v>4</v>
      </c>
      <c r="B5" s="26" t="str">
        <f aca="false">INDEX(Parejas!$B$5:$B$20,A5)</f>
        <v>Luciano / Gonzalo</v>
      </c>
      <c r="C5" s="26" t="n">
        <f aca="false">COUNTIFS(Suizo!$C$5:$C$20,A5,Suizo!$K$5:$K$20,"&gt;0")+COUNTIFS(Suizo!$H$5:$H$20,A5,Suizo!$K$5:$K$20,"&gt;0")</f>
        <v>0</v>
      </c>
      <c r="D5" s="26" t="n">
        <f aca="false">COUNTIF(Suizo!$K$5:$K$20,A5)</f>
        <v>0</v>
      </c>
      <c r="E5" s="26" t="n">
        <f aca="false">C5-D5</f>
        <v>0</v>
      </c>
      <c r="F5" s="26" t="n">
        <f aca="false">SUMIFS(Suizo!$E$5:$E$20,Suizo!$C$5:$C$20,A5,Suizo!$K$5:$K$20,"&gt;0")+SUMIFS(Suizo!$F$5:$F$20,Suizo!$H$5:$H$20,A5,Suizo!$K$5:$K$20,"&gt;0")</f>
        <v>0</v>
      </c>
      <c r="G5" s="26" t="n">
        <f aca="false">SUMIFS(Suizo!$F$5:$F$20,Suizo!$C$5:$C$20,A5,Suizo!$K$5:$K$20,"&gt;0")+SUMIFS(Suizo!$E$5:$E$20,Suizo!$H$5:$H$20,A5,Suizo!$K$5:$K$20,"&gt;0")</f>
        <v>0</v>
      </c>
      <c r="H5" s="26" t="n">
        <f aca="false">F5-G5</f>
        <v>0</v>
      </c>
      <c r="I5" s="26" t="n">
        <f aca="false">SUMIFS(Suizo!$L$5:$L$20,Suizo!$C$5:$C$20,A5)+SUMIFS(Suizo!$M$5:$M$20,Suizo!$H$5:$H$20,A5)</f>
        <v>0</v>
      </c>
      <c r="J5" s="26" t="n">
        <f aca="false">D5*1000000000+(H5+500)*1000000+I5*10000+F5*10-A5/100</f>
        <v>499999999.96</v>
      </c>
    </row>
    <row r="6" customFormat="false" ht="15" hidden="false" customHeight="false" outlineLevel="0" collapsed="false">
      <c r="A6" s="26" t="n">
        <v>5</v>
      </c>
      <c r="B6" s="26" t="str">
        <f aca="false">INDEX(Parejas!$B$5:$B$20,A6)</f>
        <v>Francisco / Marcos</v>
      </c>
      <c r="C6" s="26" t="n">
        <f aca="false">COUNTIFS(Suizo!$C$5:$C$20,A6,Suizo!$K$5:$K$20,"&gt;0")+COUNTIFS(Suizo!$H$5:$H$20,A6,Suizo!$K$5:$K$20,"&gt;0")</f>
        <v>0</v>
      </c>
      <c r="D6" s="26" t="n">
        <f aca="false">COUNTIF(Suizo!$K$5:$K$20,A6)</f>
        <v>0</v>
      </c>
      <c r="E6" s="26" t="n">
        <f aca="false">C6-D6</f>
        <v>0</v>
      </c>
      <c r="F6" s="26" t="n">
        <f aca="false">SUMIFS(Suizo!$E$5:$E$20,Suizo!$C$5:$C$20,A6,Suizo!$K$5:$K$20,"&gt;0")+SUMIFS(Suizo!$F$5:$F$20,Suizo!$H$5:$H$20,A6,Suizo!$K$5:$K$20,"&gt;0")</f>
        <v>0</v>
      </c>
      <c r="G6" s="26" t="n">
        <f aca="false">SUMIFS(Suizo!$F$5:$F$20,Suizo!$C$5:$C$20,A6,Suizo!$K$5:$K$20,"&gt;0")+SUMIFS(Suizo!$E$5:$E$20,Suizo!$H$5:$H$20,A6,Suizo!$K$5:$K$20,"&gt;0")</f>
        <v>0</v>
      </c>
      <c r="H6" s="26" t="n">
        <f aca="false">F6-G6</f>
        <v>0</v>
      </c>
      <c r="I6" s="26" t="n">
        <f aca="false">SUMIFS(Suizo!$L$5:$L$20,Suizo!$C$5:$C$20,A6)+SUMIFS(Suizo!$M$5:$M$20,Suizo!$H$5:$H$20,A6)</f>
        <v>0</v>
      </c>
      <c r="J6" s="26" t="n">
        <f aca="false">D6*1000000000+(H6+500)*1000000+I6*10000+F6*10-A6/100</f>
        <v>499999999.95</v>
      </c>
    </row>
    <row r="7" customFormat="false" ht="15" hidden="false" customHeight="false" outlineLevel="0" collapsed="false">
      <c r="A7" s="26" t="n">
        <v>6</v>
      </c>
      <c r="B7" s="26" t="str">
        <f aca="false">INDEX(Parejas!$B$5:$B$20,A7)</f>
        <v>Luciano / Lautaro</v>
      </c>
      <c r="C7" s="26" t="n">
        <f aca="false">COUNTIFS(Suizo!$C$5:$C$20,A7,Suizo!$K$5:$K$20,"&gt;0")+COUNTIFS(Suizo!$H$5:$H$20,A7,Suizo!$K$5:$K$20,"&gt;0")</f>
        <v>0</v>
      </c>
      <c r="D7" s="26" t="n">
        <f aca="false">COUNTIF(Suizo!$K$5:$K$20,A7)</f>
        <v>0</v>
      </c>
      <c r="E7" s="26" t="n">
        <f aca="false">C7-D7</f>
        <v>0</v>
      </c>
      <c r="F7" s="26" t="n">
        <f aca="false">SUMIFS(Suizo!$E$5:$E$20,Suizo!$C$5:$C$20,A7,Suizo!$K$5:$K$20,"&gt;0")+SUMIFS(Suizo!$F$5:$F$20,Suizo!$H$5:$H$20,A7,Suizo!$K$5:$K$20,"&gt;0")</f>
        <v>0</v>
      </c>
      <c r="G7" s="26" t="n">
        <f aca="false">SUMIFS(Suizo!$F$5:$F$20,Suizo!$C$5:$C$20,A7,Suizo!$K$5:$K$20,"&gt;0")+SUMIFS(Suizo!$E$5:$E$20,Suizo!$H$5:$H$20,A7,Suizo!$K$5:$K$20,"&gt;0")</f>
        <v>0</v>
      </c>
      <c r="H7" s="26" t="n">
        <f aca="false">F7-G7</f>
        <v>0</v>
      </c>
      <c r="I7" s="26" t="n">
        <f aca="false">SUMIFS(Suizo!$L$5:$L$20,Suizo!$C$5:$C$20,A7)+SUMIFS(Suizo!$M$5:$M$20,Suizo!$H$5:$H$20,A7)</f>
        <v>0</v>
      </c>
      <c r="J7" s="26" t="n">
        <f aca="false">D7*1000000000+(H7+500)*1000000+I7*10000+F7*10-A7/100</f>
        <v>499999999.94</v>
      </c>
    </row>
    <row r="8" customFormat="false" ht="15" hidden="false" customHeight="false" outlineLevel="0" collapsed="false">
      <c r="A8" s="26" t="n">
        <v>7</v>
      </c>
      <c r="B8" s="26" t="str">
        <f aca="false">INDEX(Parejas!$B$5:$B$20,A8)</f>
        <v>Simon / Joaquin</v>
      </c>
      <c r="C8" s="26" t="n">
        <f aca="false">COUNTIFS(Suizo!$C$5:$C$20,A8,Suizo!$K$5:$K$20,"&gt;0")+COUNTIFS(Suizo!$H$5:$H$20,A8,Suizo!$K$5:$K$20,"&gt;0")</f>
        <v>0</v>
      </c>
      <c r="D8" s="26" t="n">
        <f aca="false">COUNTIF(Suizo!$K$5:$K$20,A8)</f>
        <v>0</v>
      </c>
      <c r="E8" s="26" t="n">
        <f aca="false">C8-D8</f>
        <v>0</v>
      </c>
      <c r="F8" s="26" t="n">
        <f aca="false">SUMIFS(Suizo!$E$5:$E$20,Suizo!$C$5:$C$20,A8,Suizo!$K$5:$K$20,"&gt;0")+SUMIFS(Suizo!$F$5:$F$20,Suizo!$H$5:$H$20,A8,Suizo!$K$5:$K$20,"&gt;0")</f>
        <v>0</v>
      </c>
      <c r="G8" s="26" t="n">
        <f aca="false">SUMIFS(Suizo!$F$5:$F$20,Suizo!$C$5:$C$20,A8,Suizo!$K$5:$K$20,"&gt;0")+SUMIFS(Suizo!$E$5:$E$20,Suizo!$H$5:$H$20,A8,Suizo!$K$5:$K$20,"&gt;0")</f>
        <v>0</v>
      </c>
      <c r="H8" s="26" t="n">
        <f aca="false">F8-G8</f>
        <v>0</v>
      </c>
      <c r="I8" s="26" t="n">
        <f aca="false">SUMIFS(Suizo!$L$5:$L$20,Suizo!$C$5:$C$20,A8)+SUMIFS(Suizo!$M$5:$M$20,Suizo!$H$5:$H$20,A8)</f>
        <v>0</v>
      </c>
      <c r="J8" s="26" t="n">
        <f aca="false">D8*1000000000+(H8+500)*1000000+I8*10000+F8*10-A8/100</f>
        <v>499999999.93</v>
      </c>
    </row>
    <row r="9" customFormat="false" ht="15" hidden="false" customHeight="false" outlineLevel="0" collapsed="false">
      <c r="A9" s="26" t="n">
        <v>8</v>
      </c>
      <c r="B9" s="26" t="str">
        <f aca="false">INDEX(Parejas!$B$5:$B$20,A9)</f>
        <v>Rodrigo / Nazareno</v>
      </c>
      <c r="C9" s="26" t="n">
        <f aca="false">COUNTIFS(Suizo!$C$5:$C$20,A9,Suizo!$K$5:$K$20,"&gt;0")+COUNTIFS(Suizo!$H$5:$H$20,A9,Suizo!$K$5:$K$20,"&gt;0")</f>
        <v>0</v>
      </c>
      <c r="D9" s="26" t="n">
        <f aca="false">COUNTIF(Suizo!$K$5:$K$20,A9)</f>
        <v>0</v>
      </c>
      <c r="E9" s="26" t="n">
        <f aca="false">C9-D9</f>
        <v>0</v>
      </c>
      <c r="F9" s="26" t="n">
        <f aca="false">SUMIFS(Suizo!$E$5:$E$20,Suizo!$C$5:$C$20,A9,Suizo!$K$5:$K$20,"&gt;0")+SUMIFS(Suizo!$F$5:$F$20,Suizo!$H$5:$H$20,A9,Suizo!$K$5:$K$20,"&gt;0")</f>
        <v>0</v>
      </c>
      <c r="G9" s="26" t="n">
        <f aca="false">SUMIFS(Suizo!$F$5:$F$20,Suizo!$C$5:$C$20,A9,Suizo!$K$5:$K$20,"&gt;0")+SUMIFS(Suizo!$E$5:$E$20,Suizo!$H$5:$H$20,A9,Suizo!$K$5:$K$20,"&gt;0")</f>
        <v>0</v>
      </c>
      <c r="H9" s="26" t="n">
        <f aca="false">F9-G9</f>
        <v>0</v>
      </c>
      <c r="I9" s="26" t="n">
        <f aca="false">SUMIFS(Suizo!$L$5:$L$20,Suizo!$C$5:$C$20,A9)+SUMIFS(Suizo!$M$5:$M$20,Suizo!$H$5:$H$20,A9)</f>
        <v>0</v>
      </c>
      <c r="J9" s="26" t="n">
        <f aca="false">D9*1000000000+(H9+500)*1000000+I9*10000+F9*10-A9/100</f>
        <v>499999999.92</v>
      </c>
    </row>
    <row r="10" customFormat="false" ht="15" hidden="false" customHeight="false" outlineLevel="0" collapsed="false">
      <c r="A10" s="26" t="n">
        <v>9</v>
      </c>
      <c r="B10" s="26" t="str">
        <f aca="false">INDEX(Parejas!$B$5:$B$20,A10)</f>
        <v>Bautista / Luciano</v>
      </c>
      <c r="C10" s="26" t="n">
        <f aca="false">COUNTIFS(Suizo!$C$5:$C$20,A10,Suizo!$K$5:$K$20,"&gt;0")+COUNTIFS(Suizo!$H$5:$H$20,A10,Suizo!$K$5:$K$20,"&gt;0")</f>
        <v>0</v>
      </c>
      <c r="D10" s="26" t="n">
        <f aca="false">COUNTIF(Suizo!$K$5:$K$20,A10)</f>
        <v>0</v>
      </c>
      <c r="E10" s="26" t="n">
        <f aca="false">C10-D10</f>
        <v>0</v>
      </c>
      <c r="F10" s="26" t="n">
        <f aca="false">SUMIFS(Suizo!$E$5:$E$20,Suizo!$C$5:$C$20,A10,Suizo!$K$5:$K$20,"&gt;0")+SUMIFS(Suizo!$F$5:$F$20,Suizo!$H$5:$H$20,A10,Suizo!$K$5:$K$20,"&gt;0")</f>
        <v>0</v>
      </c>
      <c r="G10" s="26" t="n">
        <f aca="false">SUMIFS(Suizo!$F$5:$F$20,Suizo!$C$5:$C$20,A10,Suizo!$K$5:$K$20,"&gt;0")+SUMIFS(Suizo!$E$5:$E$20,Suizo!$H$5:$H$20,A10,Suizo!$K$5:$K$20,"&gt;0")</f>
        <v>0</v>
      </c>
      <c r="H10" s="26" t="n">
        <f aca="false">F10-G10</f>
        <v>0</v>
      </c>
      <c r="I10" s="26" t="n">
        <f aca="false">SUMIFS(Suizo!$L$5:$L$20,Suizo!$C$5:$C$20,A10)+SUMIFS(Suizo!$M$5:$M$20,Suizo!$H$5:$H$20,A10)</f>
        <v>0</v>
      </c>
      <c r="J10" s="26" t="n">
        <f aca="false">D10*1000000000+(H10+500)*1000000+I10*10000+F10*10-A10/100</f>
        <v>499999999.91</v>
      </c>
    </row>
    <row r="11" customFormat="false" ht="15" hidden="false" customHeight="false" outlineLevel="0" collapsed="false">
      <c r="A11" s="26" t="n">
        <v>10</v>
      </c>
      <c r="B11" s="26" t="str">
        <f aca="false">INDEX(Parejas!$B$5:$B$20,A11)</f>
        <v>Lucas / Martin</v>
      </c>
      <c r="C11" s="26" t="n">
        <f aca="false">COUNTIFS(Suizo!$C$5:$C$20,A11,Suizo!$K$5:$K$20,"&gt;0")+COUNTIFS(Suizo!$H$5:$H$20,A11,Suizo!$K$5:$K$20,"&gt;0")</f>
        <v>0</v>
      </c>
      <c r="D11" s="26" t="n">
        <f aca="false">COUNTIF(Suizo!$K$5:$K$20,A11)</f>
        <v>0</v>
      </c>
      <c r="E11" s="26" t="n">
        <f aca="false">C11-D11</f>
        <v>0</v>
      </c>
      <c r="F11" s="26" t="n">
        <f aca="false">SUMIFS(Suizo!$E$5:$E$20,Suizo!$C$5:$C$20,A11,Suizo!$K$5:$K$20,"&gt;0")+SUMIFS(Suizo!$F$5:$F$20,Suizo!$H$5:$H$20,A11,Suizo!$K$5:$K$20,"&gt;0")</f>
        <v>0</v>
      </c>
      <c r="G11" s="26" t="n">
        <f aca="false">SUMIFS(Suizo!$F$5:$F$20,Suizo!$C$5:$C$20,A11,Suizo!$K$5:$K$20,"&gt;0")+SUMIFS(Suizo!$E$5:$E$20,Suizo!$H$5:$H$20,A11,Suizo!$K$5:$K$20,"&gt;0")</f>
        <v>0</v>
      </c>
      <c r="H11" s="26" t="n">
        <f aca="false">F11-G11</f>
        <v>0</v>
      </c>
      <c r="I11" s="26" t="n">
        <f aca="false">SUMIFS(Suizo!$L$5:$L$20,Suizo!$C$5:$C$20,A11)+SUMIFS(Suizo!$M$5:$M$20,Suizo!$H$5:$H$20,A11)</f>
        <v>0</v>
      </c>
      <c r="J11" s="26" t="n">
        <f aca="false">D11*1000000000+(H11+500)*1000000+I11*10000+F11*10-A11/100</f>
        <v>499999999.9</v>
      </c>
    </row>
    <row r="12" customFormat="false" ht="15" hidden="false" customHeight="false" outlineLevel="0" collapsed="false">
      <c r="A12" s="26" t="n">
        <v>11</v>
      </c>
      <c r="B12" s="26" t="str">
        <f aca="false">INDEX(Parejas!$B$5:$B$20,A12)</f>
        <v>Agustin / Rodrigo</v>
      </c>
      <c r="C12" s="26" t="n">
        <f aca="false">COUNTIFS(Suizo!$C$5:$C$20,A12,Suizo!$K$5:$K$20,"&gt;0")+COUNTIFS(Suizo!$H$5:$H$20,A12,Suizo!$K$5:$K$20,"&gt;0")</f>
        <v>0</v>
      </c>
      <c r="D12" s="26" t="n">
        <f aca="false">COUNTIF(Suizo!$K$5:$K$20,A12)</f>
        <v>0</v>
      </c>
      <c r="E12" s="26" t="n">
        <f aca="false">C12-D12</f>
        <v>0</v>
      </c>
      <c r="F12" s="26" t="n">
        <f aca="false">SUMIFS(Suizo!$E$5:$E$20,Suizo!$C$5:$C$20,A12,Suizo!$K$5:$K$20,"&gt;0")+SUMIFS(Suizo!$F$5:$F$20,Suizo!$H$5:$H$20,A12,Suizo!$K$5:$K$20,"&gt;0")</f>
        <v>0</v>
      </c>
      <c r="G12" s="26" t="n">
        <f aca="false">SUMIFS(Suizo!$F$5:$F$20,Suizo!$C$5:$C$20,A12,Suizo!$K$5:$K$20,"&gt;0")+SUMIFS(Suizo!$E$5:$E$20,Suizo!$H$5:$H$20,A12,Suizo!$K$5:$K$20,"&gt;0")</f>
        <v>0</v>
      </c>
      <c r="H12" s="26" t="n">
        <f aca="false">F12-G12</f>
        <v>0</v>
      </c>
      <c r="I12" s="26" t="n">
        <f aca="false">SUMIFS(Suizo!$L$5:$L$20,Suizo!$C$5:$C$20,A12)+SUMIFS(Suizo!$M$5:$M$20,Suizo!$H$5:$H$20,A12)</f>
        <v>0</v>
      </c>
      <c r="J12" s="26" t="n">
        <f aca="false">D12*1000000000+(H12+500)*1000000+I12*10000+F12*10-A12/100</f>
        <v>499999999.89</v>
      </c>
    </row>
    <row r="13" customFormat="false" ht="15" hidden="false" customHeight="false" outlineLevel="0" collapsed="false">
      <c r="A13" s="26" t="n">
        <v>12</v>
      </c>
      <c r="B13" s="26" t="str">
        <f aca="false">INDEX(Parejas!$B$5:$B$20,A13)</f>
        <v>Enzo / Gonza</v>
      </c>
      <c r="C13" s="26" t="n">
        <f aca="false">COUNTIFS(Suizo!$C$5:$C$20,A13,Suizo!$K$5:$K$20,"&gt;0")+COUNTIFS(Suizo!$H$5:$H$20,A13,Suizo!$K$5:$K$20,"&gt;0")</f>
        <v>0</v>
      </c>
      <c r="D13" s="26" t="n">
        <f aca="false">COUNTIF(Suizo!$K$5:$K$20,A13)</f>
        <v>0</v>
      </c>
      <c r="E13" s="26" t="n">
        <f aca="false">C13-D13</f>
        <v>0</v>
      </c>
      <c r="F13" s="26" t="n">
        <f aca="false">SUMIFS(Suizo!$E$5:$E$20,Suizo!$C$5:$C$20,A13,Suizo!$K$5:$K$20,"&gt;0")+SUMIFS(Suizo!$F$5:$F$20,Suizo!$H$5:$H$20,A13,Suizo!$K$5:$K$20,"&gt;0")</f>
        <v>0</v>
      </c>
      <c r="G13" s="26" t="n">
        <f aca="false">SUMIFS(Suizo!$F$5:$F$20,Suizo!$C$5:$C$20,A13,Suizo!$K$5:$K$20,"&gt;0")+SUMIFS(Suizo!$E$5:$E$20,Suizo!$H$5:$H$20,A13,Suizo!$K$5:$K$20,"&gt;0")</f>
        <v>0</v>
      </c>
      <c r="H13" s="26" t="n">
        <f aca="false">F13-G13</f>
        <v>0</v>
      </c>
      <c r="I13" s="26" t="n">
        <f aca="false">SUMIFS(Suizo!$L$5:$L$20,Suizo!$C$5:$C$20,A13)+SUMIFS(Suizo!$M$5:$M$20,Suizo!$H$5:$H$20,A13)</f>
        <v>0</v>
      </c>
      <c r="J13" s="26" t="n">
        <f aca="false">D13*1000000000+(H13+500)*1000000+I13*10000+F13*10-A13/100</f>
        <v>499999999.88</v>
      </c>
    </row>
    <row r="14" customFormat="false" ht="15" hidden="false" customHeight="false" outlineLevel="0" collapsed="false">
      <c r="A14" s="26" t="n">
        <v>13</v>
      </c>
      <c r="B14" s="26" t="str">
        <f aca="false">INDEX(Parejas!$B$5:$B$20,A14)</f>
        <v>Pareja 13</v>
      </c>
      <c r="C14" s="26" t="n">
        <f aca="false">COUNTIFS(Suizo!$C$5:$C$20,A14,Suizo!$K$5:$K$20,"&gt;0")+COUNTIFS(Suizo!$H$5:$H$20,A14,Suizo!$K$5:$K$20,"&gt;0")</f>
        <v>0</v>
      </c>
      <c r="D14" s="26" t="n">
        <f aca="false">COUNTIF(Suizo!$K$5:$K$20,A14)</f>
        <v>0</v>
      </c>
      <c r="E14" s="26" t="n">
        <f aca="false">C14-D14</f>
        <v>0</v>
      </c>
      <c r="F14" s="26" t="n">
        <f aca="false">SUMIFS(Suizo!$E$5:$E$20,Suizo!$C$5:$C$20,A14,Suizo!$K$5:$K$20,"&gt;0")+SUMIFS(Suizo!$F$5:$F$20,Suizo!$H$5:$H$20,A14,Suizo!$K$5:$K$20,"&gt;0")</f>
        <v>0</v>
      </c>
      <c r="G14" s="26" t="n">
        <f aca="false">SUMIFS(Suizo!$F$5:$F$20,Suizo!$C$5:$C$20,A14,Suizo!$K$5:$K$20,"&gt;0")+SUMIFS(Suizo!$E$5:$E$20,Suizo!$H$5:$H$20,A14,Suizo!$K$5:$K$20,"&gt;0")</f>
        <v>0</v>
      </c>
      <c r="H14" s="26" t="n">
        <f aca="false">F14-G14</f>
        <v>0</v>
      </c>
      <c r="I14" s="26" t="n">
        <f aca="false">SUMIFS(Suizo!$L$5:$L$20,Suizo!$C$5:$C$20,A14)+SUMIFS(Suizo!$M$5:$M$20,Suizo!$H$5:$H$20,A14)</f>
        <v>0</v>
      </c>
      <c r="J14" s="26" t="n">
        <f aca="false">D14*1000000000+(H14+500)*1000000+I14*10000+F14*10-A14/100</f>
        <v>499999999.87</v>
      </c>
    </row>
    <row r="15" customFormat="false" ht="15" hidden="false" customHeight="false" outlineLevel="0" collapsed="false">
      <c r="A15" s="26" t="n">
        <v>14</v>
      </c>
      <c r="B15" s="26" t="str">
        <f aca="false">INDEX(Parejas!$B$5:$B$20,A15)</f>
        <v>Pareja 14</v>
      </c>
      <c r="C15" s="26" t="n">
        <f aca="false">COUNTIFS(Suizo!$C$5:$C$20,A15,Suizo!$K$5:$K$20,"&gt;0")+COUNTIFS(Suizo!$H$5:$H$20,A15,Suizo!$K$5:$K$20,"&gt;0")</f>
        <v>0</v>
      </c>
      <c r="D15" s="26" t="n">
        <f aca="false">COUNTIF(Suizo!$K$5:$K$20,A15)</f>
        <v>0</v>
      </c>
      <c r="E15" s="26" t="n">
        <f aca="false">C15-D15</f>
        <v>0</v>
      </c>
      <c r="F15" s="26" t="n">
        <f aca="false">SUMIFS(Suizo!$E$5:$E$20,Suizo!$C$5:$C$20,A15,Suizo!$K$5:$K$20,"&gt;0")+SUMIFS(Suizo!$F$5:$F$20,Suizo!$H$5:$H$20,A15,Suizo!$K$5:$K$20,"&gt;0")</f>
        <v>0</v>
      </c>
      <c r="G15" s="26" t="n">
        <f aca="false">SUMIFS(Suizo!$F$5:$F$20,Suizo!$C$5:$C$20,A15,Suizo!$K$5:$K$20,"&gt;0")+SUMIFS(Suizo!$E$5:$E$20,Suizo!$H$5:$H$20,A15,Suizo!$K$5:$K$20,"&gt;0")</f>
        <v>0</v>
      </c>
      <c r="H15" s="26" t="n">
        <f aca="false">F15-G15</f>
        <v>0</v>
      </c>
      <c r="I15" s="26" t="n">
        <f aca="false">SUMIFS(Suizo!$L$5:$L$20,Suizo!$C$5:$C$20,A15)+SUMIFS(Suizo!$M$5:$M$20,Suizo!$H$5:$H$20,A15)</f>
        <v>0</v>
      </c>
      <c r="J15" s="26" t="n">
        <f aca="false">D15*1000000000+(H15+500)*1000000+I15*10000+F15*10-A15/100</f>
        <v>499999999.86</v>
      </c>
    </row>
    <row r="16" customFormat="false" ht="15" hidden="false" customHeight="false" outlineLevel="0" collapsed="false">
      <c r="A16" s="26" t="n">
        <v>15</v>
      </c>
      <c r="B16" s="26" t="str">
        <f aca="false">INDEX(Parejas!$B$5:$B$20,A16)</f>
        <v>Pareja 15</v>
      </c>
      <c r="C16" s="26" t="n">
        <f aca="false">COUNTIFS(Suizo!$C$5:$C$20,A16,Suizo!$K$5:$K$20,"&gt;0")+COUNTIFS(Suizo!$H$5:$H$20,A16,Suizo!$K$5:$K$20,"&gt;0")</f>
        <v>0</v>
      </c>
      <c r="D16" s="26" t="n">
        <f aca="false">COUNTIF(Suizo!$K$5:$K$20,A16)</f>
        <v>0</v>
      </c>
      <c r="E16" s="26" t="n">
        <f aca="false">C16-D16</f>
        <v>0</v>
      </c>
      <c r="F16" s="26" t="n">
        <f aca="false">SUMIFS(Suizo!$E$5:$E$20,Suizo!$C$5:$C$20,A16,Suizo!$K$5:$K$20,"&gt;0")+SUMIFS(Suizo!$F$5:$F$20,Suizo!$H$5:$H$20,A16,Suizo!$K$5:$K$20,"&gt;0")</f>
        <v>0</v>
      </c>
      <c r="G16" s="26" t="n">
        <f aca="false">SUMIFS(Suizo!$F$5:$F$20,Suizo!$C$5:$C$20,A16,Suizo!$K$5:$K$20,"&gt;0")+SUMIFS(Suizo!$E$5:$E$20,Suizo!$H$5:$H$20,A16,Suizo!$K$5:$K$20,"&gt;0")</f>
        <v>0</v>
      </c>
      <c r="H16" s="26" t="n">
        <f aca="false">F16-G16</f>
        <v>0</v>
      </c>
      <c r="I16" s="26" t="n">
        <f aca="false">SUMIFS(Suizo!$L$5:$L$20,Suizo!$C$5:$C$20,A16)+SUMIFS(Suizo!$M$5:$M$20,Suizo!$H$5:$H$20,A16)</f>
        <v>0</v>
      </c>
      <c r="J16" s="26" t="n">
        <f aca="false">D16*1000000000+(H16+500)*1000000+I16*10000+F16*10-A16/100</f>
        <v>499999999.85</v>
      </c>
    </row>
    <row r="17" customFormat="false" ht="15" hidden="false" customHeight="false" outlineLevel="0" collapsed="false">
      <c r="A17" s="26" t="n">
        <v>16</v>
      </c>
      <c r="B17" s="26" t="str">
        <f aca="false">INDEX(Parejas!$B$5:$B$20,A17)</f>
        <v>Pareja 16</v>
      </c>
      <c r="C17" s="26" t="n">
        <f aca="false">COUNTIFS(Suizo!$C$5:$C$20,A17,Suizo!$K$5:$K$20,"&gt;0")+COUNTIFS(Suizo!$H$5:$H$20,A17,Suizo!$K$5:$K$20,"&gt;0")</f>
        <v>0</v>
      </c>
      <c r="D17" s="26" t="n">
        <f aca="false">COUNTIF(Suizo!$K$5:$K$20,A17)</f>
        <v>0</v>
      </c>
      <c r="E17" s="26" t="n">
        <f aca="false">C17-D17</f>
        <v>0</v>
      </c>
      <c r="F17" s="26" t="n">
        <f aca="false">SUMIFS(Suizo!$E$5:$E$20,Suizo!$C$5:$C$20,A17,Suizo!$K$5:$K$20,"&gt;0")+SUMIFS(Suizo!$F$5:$F$20,Suizo!$H$5:$H$20,A17,Suizo!$K$5:$K$20,"&gt;0")</f>
        <v>0</v>
      </c>
      <c r="G17" s="26" t="n">
        <f aca="false">SUMIFS(Suizo!$F$5:$F$20,Suizo!$C$5:$C$20,A17,Suizo!$K$5:$K$20,"&gt;0")+SUMIFS(Suizo!$E$5:$E$20,Suizo!$H$5:$H$20,A17,Suizo!$K$5:$K$20,"&gt;0")</f>
        <v>0</v>
      </c>
      <c r="H17" s="26" t="n">
        <f aca="false">F17-G17</f>
        <v>0</v>
      </c>
      <c r="I17" s="26" t="n">
        <f aca="false">SUMIFS(Suizo!$L$5:$L$20,Suizo!$C$5:$C$20,A17)+SUMIFS(Suizo!$M$5:$M$20,Suizo!$H$5:$H$20,A17)</f>
        <v>0</v>
      </c>
      <c r="J17" s="26" t="n">
        <f aca="false">D17*1000000000+(H17+500)*1000000+I17*10000+F17*10-A17/100</f>
        <v>499999999.84</v>
      </c>
    </row>
    <row r="19" customFormat="false" ht="15" hidden="false" customHeight="false" outlineLevel="0" collapsed="false">
      <c r="A19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76</v>
      </c>
      <c r="C1" s="0" t="s">
        <v>77</v>
      </c>
      <c r="D1" s="0" t="n">
        <f aca="false">IF(COUNTIF(Suizo!$K$5:$K$12,"&gt;0")=8,1,0)</f>
        <v>0</v>
      </c>
    </row>
    <row r="2" customFormat="false" ht="15" hidden="false" customHeight="false" outlineLevel="0" collapsed="false">
      <c r="A2" s="0" t="s">
        <v>2</v>
      </c>
      <c r="B2" s="0" t="s">
        <v>68</v>
      </c>
      <c r="C2" s="0" t="s">
        <v>72</v>
      </c>
      <c r="D2" s="0" t="s">
        <v>70</v>
      </c>
      <c r="E2" s="0" t="s">
        <v>78</v>
      </c>
      <c r="F2" s="0" t="s">
        <v>79</v>
      </c>
      <c r="G2" s="0" t="s">
        <v>80</v>
      </c>
    </row>
    <row r="3" customFormat="false" ht="15" hidden="false" customHeight="false" outlineLevel="0" collapsed="false">
      <c r="A3" s="0" t="n">
        <v>1</v>
      </c>
      <c r="B3" s="0" t="n">
        <f aca="false">COUNTIF(Suizo!$K$5:$K$12,A3)</f>
        <v>0</v>
      </c>
      <c r="C3" s="0" t="n">
        <f aca="false">(SUMIFS(Suizo!$E$5:$E$12,Suizo!$C$5:$C$12,A3,Suizo!$K$5:$K$12,"&gt;0")+SUMIFS(Suizo!$F$5:$F$12,Suizo!$H$5:$H$12,A3,Suizo!$K$5:$K$12,"&gt;0"))-(SUMIFS(Suizo!$F$5:$F$12,Suizo!$C$5:$C$12,A3,Suizo!$K$5:$K$12,"&gt;0")+SUMIFS(Suizo!$E$5:$E$12,Suizo!$H$5:$H$12,A3,Suizo!$K$5:$K$12,"&gt;0"))</f>
        <v>0</v>
      </c>
      <c r="D3" s="0" t="n">
        <f aca="false">(SUMIFS(Suizo!$E$5:$E$12,Suizo!$C$5:$C$12,A3,Suizo!$K$5:$K$12,"&gt;0")+SUMIFS(Suizo!$F$5:$F$12,Suizo!$H$5:$H$12,A3,Suizo!$K$5:$K$12,"&gt;0"))</f>
        <v>0</v>
      </c>
      <c r="E3" s="0" t="n">
        <f aca="false">B3*100000000+(C3+500)*100000+D3*100-A3</f>
        <v>49999999</v>
      </c>
      <c r="F3" s="0" t="n">
        <v>1</v>
      </c>
      <c r="G3" s="0" t="n">
        <f aca="false">INDEX($A$3:$A$18,MATCH(LARGE($E$3:$E$18,F3),$E$3:$E$18,0))</f>
        <v>1</v>
      </c>
    </row>
    <row r="4" customFormat="false" ht="15" hidden="false" customHeight="false" outlineLevel="0" collapsed="false">
      <c r="A4" s="0" t="n">
        <v>2</v>
      </c>
      <c r="B4" s="0" t="n">
        <f aca="false">COUNTIF(Suizo!$K$5:$K$12,A4)</f>
        <v>0</v>
      </c>
      <c r="C4" s="0" t="n">
        <f aca="false">(SUMIFS(Suizo!$E$5:$E$12,Suizo!$C$5:$C$12,A4,Suizo!$K$5:$K$12,"&gt;0")+SUMIFS(Suizo!$F$5:$F$12,Suizo!$H$5:$H$12,A4,Suizo!$K$5:$K$12,"&gt;0"))-(SUMIFS(Suizo!$F$5:$F$12,Suizo!$C$5:$C$12,A4,Suizo!$K$5:$K$12,"&gt;0")+SUMIFS(Suizo!$E$5:$E$12,Suizo!$H$5:$H$12,A4,Suizo!$K$5:$K$12,"&gt;0"))</f>
        <v>0</v>
      </c>
      <c r="D4" s="0" t="n">
        <f aca="false">(SUMIFS(Suizo!$E$5:$E$12,Suizo!$C$5:$C$12,A4,Suizo!$K$5:$K$12,"&gt;0")+SUMIFS(Suizo!$F$5:$F$12,Suizo!$H$5:$H$12,A4,Suizo!$K$5:$K$12,"&gt;0"))</f>
        <v>0</v>
      </c>
      <c r="E4" s="0" t="n">
        <f aca="false">B4*100000000+(C4+500)*100000+D4*100-A4</f>
        <v>49999998</v>
      </c>
      <c r="F4" s="0" t="n">
        <v>2</v>
      </c>
      <c r="G4" s="0" t="n">
        <f aca="false">INDEX($A$3:$A$18,MATCH(LARGE($E$3:$E$18,F4),$E$3:$E$18,0))</f>
        <v>2</v>
      </c>
    </row>
    <row r="5" customFormat="false" ht="15" hidden="false" customHeight="false" outlineLevel="0" collapsed="false">
      <c r="A5" s="0" t="n">
        <v>3</v>
      </c>
      <c r="B5" s="0" t="n">
        <f aca="false">COUNTIF(Suizo!$K$5:$K$12,A5)</f>
        <v>0</v>
      </c>
      <c r="C5" s="0" t="n">
        <f aca="false">(SUMIFS(Suizo!$E$5:$E$12,Suizo!$C$5:$C$12,A5,Suizo!$K$5:$K$12,"&gt;0")+SUMIFS(Suizo!$F$5:$F$12,Suizo!$H$5:$H$12,A5,Suizo!$K$5:$K$12,"&gt;0"))-(SUMIFS(Suizo!$F$5:$F$12,Suizo!$C$5:$C$12,A5,Suizo!$K$5:$K$12,"&gt;0")+SUMIFS(Suizo!$E$5:$E$12,Suizo!$H$5:$H$12,A5,Suizo!$K$5:$K$12,"&gt;0"))</f>
        <v>0</v>
      </c>
      <c r="D5" s="0" t="n">
        <f aca="false">(SUMIFS(Suizo!$E$5:$E$12,Suizo!$C$5:$C$12,A5,Suizo!$K$5:$K$12,"&gt;0")+SUMIFS(Suizo!$F$5:$F$12,Suizo!$H$5:$H$12,A5,Suizo!$K$5:$K$12,"&gt;0"))</f>
        <v>0</v>
      </c>
      <c r="E5" s="0" t="n">
        <f aca="false">B5*100000000+(C5+500)*100000+D5*100-A5</f>
        <v>49999997</v>
      </c>
      <c r="F5" s="0" t="n">
        <v>3</v>
      </c>
      <c r="G5" s="0" t="n">
        <f aca="false">INDEX($A$3:$A$18,MATCH(LARGE($E$3:$E$18,F5),$E$3:$E$18,0))</f>
        <v>3</v>
      </c>
    </row>
    <row r="6" customFormat="false" ht="15" hidden="false" customHeight="false" outlineLevel="0" collapsed="false">
      <c r="A6" s="0" t="n">
        <v>4</v>
      </c>
      <c r="B6" s="0" t="n">
        <f aca="false">COUNTIF(Suizo!$K$5:$K$12,A6)</f>
        <v>0</v>
      </c>
      <c r="C6" s="0" t="n">
        <f aca="false">(SUMIFS(Suizo!$E$5:$E$12,Suizo!$C$5:$C$12,A6,Suizo!$K$5:$K$12,"&gt;0")+SUMIFS(Suizo!$F$5:$F$12,Suizo!$H$5:$H$12,A6,Suizo!$K$5:$K$12,"&gt;0"))-(SUMIFS(Suizo!$F$5:$F$12,Suizo!$C$5:$C$12,A6,Suizo!$K$5:$K$12,"&gt;0")+SUMIFS(Suizo!$E$5:$E$12,Suizo!$H$5:$H$12,A6,Suizo!$K$5:$K$12,"&gt;0"))</f>
        <v>0</v>
      </c>
      <c r="D6" s="0" t="n">
        <f aca="false">(SUMIFS(Suizo!$E$5:$E$12,Suizo!$C$5:$C$12,A6,Suizo!$K$5:$K$12,"&gt;0")+SUMIFS(Suizo!$F$5:$F$12,Suizo!$H$5:$H$12,A6,Suizo!$K$5:$K$12,"&gt;0"))</f>
        <v>0</v>
      </c>
      <c r="E6" s="0" t="n">
        <f aca="false">B6*100000000+(C6+500)*100000+D6*100-A6</f>
        <v>49999996</v>
      </c>
      <c r="F6" s="0" t="n">
        <v>4</v>
      </c>
      <c r="G6" s="0" t="n">
        <f aca="false">INDEX($A$3:$A$18,MATCH(LARGE($E$3:$E$18,F6),$E$3:$E$18,0))</f>
        <v>4</v>
      </c>
    </row>
    <row r="7" customFormat="false" ht="15" hidden="false" customHeight="false" outlineLevel="0" collapsed="false">
      <c r="A7" s="0" t="n">
        <v>5</v>
      </c>
      <c r="B7" s="0" t="n">
        <f aca="false">COUNTIF(Suizo!$K$5:$K$12,A7)</f>
        <v>0</v>
      </c>
      <c r="C7" s="0" t="n">
        <f aca="false">(SUMIFS(Suizo!$E$5:$E$12,Suizo!$C$5:$C$12,A7,Suizo!$K$5:$K$12,"&gt;0")+SUMIFS(Suizo!$F$5:$F$12,Suizo!$H$5:$H$12,A7,Suizo!$K$5:$K$12,"&gt;0"))-(SUMIFS(Suizo!$F$5:$F$12,Suizo!$C$5:$C$12,A7,Suizo!$K$5:$K$12,"&gt;0")+SUMIFS(Suizo!$E$5:$E$12,Suizo!$H$5:$H$12,A7,Suizo!$K$5:$K$12,"&gt;0"))</f>
        <v>0</v>
      </c>
      <c r="D7" s="0" t="n">
        <f aca="false">(SUMIFS(Suizo!$E$5:$E$12,Suizo!$C$5:$C$12,A7,Suizo!$K$5:$K$12,"&gt;0")+SUMIFS(Suizo!$F$5:$F$12,Suizo!$H$5:$H$12,A7,Suizo!$K$5:$K$12,"&gt;0"))</f>
        <v>0</v>
      </c>
      <c r="E7" s="0" t="n">
        <f aca="false">B7*100000000+(C7+500)*100000+D7*100-A7</f>
        <v>49999995</v>
      </c>
      <c r="F7" s="0" t="n">
        <v>5</v>
      </c>
      <c r="G7" s="0" t="n">
        <f aca="false">INDEX($A$3:$A$18,MATCH(LARGE($E$3:$E$18,F7),$E$3:$E$18,0))</f>
        <v>5</v>
      </c>
    </row>
    <row r="8" customFormat="false" ht="15" hidden="false" customHeight="false" outlineLevel="0" collapsed="false">
      <c r="A8" s="0" t="n">
        <v>6</v>
      </c>
      <c r="B8" s="0" t="n">
        <f aca="false">COUNTIF(Suizo!$K$5:$K$12,A8)</f>
        <v>0</v>
      </c>
      <c r="C8" s="0" t="n">
        <f aca="false">(SUMIFS(Suizo!$E$5:$E$12,Suizo!$C$5:$C$12,A8,Suizo!$K$5:$K$12,"&gt;0")+SUMIFS(Suizo!$F$5:$F$12,Suizo!$H$5:$H$12,A8,Suizo!$K$5:$K$12,"&gt;0"))-(SUMIFS(Suizo!$F$5:$F$12,Suizo!$C$5:$C$12,A8,Suizo!$K$5:$K$12,"&gt;0")+SUMIFS(Suizo!$E$5:$E$12,Suizo!$H$5:$H$12,A8,Suizo!$K$5:$K$12,"&gt;0"))</f>
        <v>0</v>
      </c>
      <c r="D8" s="0" t="n">
        <f aca="false">(SUMIFS(Suizo!$E$5:$E$12,Suizo!$C$5:$C$12,A8,Suizo!$K$5:$K$12,"&gt;0")+SUMIFS(Suizo!$F$5:$F$12,Suizo!$H$5:$H$12,A8,Suizo!$K$5:$K$12,"&gt;0"))</f>
        <v>0</v>
      </c>
      <c r="E8" s="0" t="n">
        <f aca="false">B8*100000000+(C8+500)*100000+D8*100-A8</f>
        <v>49999994</v>
      </c>
      <c r="F8" s="0" t="n">
        <v>6</v>
      </c>
      <c r="G8" s="0" t="n">
        <f aca="false">INDEX($A$3:$A$18,MATCH(LARGE($E$3:$E$18,F8),$E$3:$E$18,0))</f>
        <v>6</v>
      </c>
    </row>
    <row r="9" customFormat="false" ht="15" hidden="false" customHeight="false" outlineLevel="0" collapsed="false">
      <c r="A9" s="0" t="n">
        <v>7</v>
      </c>
      <c r="B9" s="0" t="n">
        <f aca="false">COUNTIF(Suizo!$K$5:$K$12,A9)</f>
        <v>0</v>
      </c>
      <c r="C9" s="0" t="n">
        <f aca="false">(SUMIFS(Suizo!$E$5:$E$12,Suizo!$C$5:$C$12,A9,Suizo!$K$5:$K$12,"&gt;0")+SUMIFS(Suizo!$F$5:$F$12,Suizo!$H$5:$H$12,A9,Suizo!$K$5:$K$12,"&gt;0"))-(SUMIFS(Suizo!$F$5:$F$12,Suizo!$C$5:$C$12,A9,Suizo!$K$5:$K$12,"&gt;0")+SUMIFS(Suizo!$E$5:$E$12,Suizo!$H$5:$H$12,A9,Suizo!$K$5:$K$12,"&gt;0"))</f>
        <v>0</v>
      </c>
      <c r="D9" s="0" t="n">
        <f aca="false">(SUMIFS(Suizo!$E$5:$E$12,Suizo!$C$5:$C$12,A9,Suizo!$K$5:$K$12,"&gt;0")+SUMIFS(Suizo!$F$5:$F$12,Suizo!$H$5:$H$12,A9,Suizo!$K$5:$K$12,"&gt;0"))</f>
        <v>0</v>
      </c>
      <c r="E9" s="0" t="n">
        <f aca="false">B9*100000000+(C9+500)*100000+D9*100-A9</f>
        <v>49999993</v>
      </c>
      <c r="F9" s="0" t="n">
        <v>7</v>
      </c>
      <c r="G9" s="0" t="n">
        <f aca="false">INDEX($A$3:$A$18,MATCH(LARGE($E$3:$E$18,F9),$E$3:$E$18,0))</f>
        <v>7</v>
      </c>
    </row>
    <row r="10" customFormat="false" ht="15" hidden="false" customHeight="false" outlineLevel="0" collapsed="false">
      <c r="A10" s="0" t="n">
        <v>8</v>
      </c>
      <c r="B10" s="0" t="n">
        <f aca="false">COUNTIF(Suizo!$K$5:$K$12,A10)</f>
        <v>0</v>
      </c>
      <c r="C10" s="0" t="n">
        <f aca="false">(SUMIFS(Suizo!$E$5:$E$12,Suizo!$C$5:$C$12,A10,Suizo!$K$5:$K$12,"&gt;0")+SUMIFS(Suizo!$F$5:$F$12,Suizo!$H$5:$H$12,A10,Suizo!$K$5:$K$12,"&gt;0"))-(SUMIFS(Suizo!$F$5:$F$12,Suizo!$C$5:$C$12,A10,Suizo!$K$5:$K$12,"&gt;0")+SUMIFS(Suizo!$E$5:$E$12,Suizo!$H$5:$H$12,A10,Suizo!$K$5:$K$12,"&gt;0"))</f>
        <v>0</v>
      </c>
      <c r="D10" s="0" t="n">
        <f aca="false">(SUMIFS(Suizo!$E$5:$E$12,Suizo!$C$5:$C$12,A10,Suizo!$K$5:$K$12,"&gt;0")+SUMIFS(Suizo!$F$5:$F$12,Suizo!$H$5:$H$12,A10,Suizo!$K$5:$K$12,"&gt;0"))</f>
        <v>0</v>
      </c>
      <c r="E10" s="0" t="n">
        <f aca="false">B10*100000000+(C10+500)*100000+D10*100-A10</f>
        <v>49999992</v>
      </c>
      <c r="F10" s="0" t="n">
        <v>8</v>
      </c>
      <c r="G10" s="0" t="n">
        <f aca="false">INDEX($A$3:$A$18,MATCH(LARGE($E$3:$E$18,F10),$E$3:$E$18,0))</f>
        <v>8</v>
      </c>
    </row>
    <row r="11" customFormat="false" ht="15" hidden="false" customHeight="false" outlineLevel="0" collapsed="false">
      <c r="A11" s="0" t="n">
        <v>9</v>
      </c>
      <c r="B11" s="0" t="n">
        <f aca="false">COUNTIF(Suizo!$K$5:$K$12,A11)</f>
        <v>0</v>
      </c>
      <c r="C11" s="0" t="n">
        <f aca="false">(SUMIFS(Suizo!$E$5:$E$12,Suizo!$C$5:$C$12,A11,Suizo!$K$5:$K$12,"&gt;0")+SUMIFS(Suizo!$F$5:$F$12,Suizo!$H$5:$H$12,A11,Suizo!$K$5:$K$12,"&gt;0"))-(SUMIFS(Suizo!$F$5:$F$12,Suizo!$C$5:$C$12,A11,Suizo!$K$5:$K$12,"&gt;0")+SUMIFS(Suizo!$E$5:$E$12,Suizo!$H$5:$H$12,A11,Suizo!$K$5:$K$12,"&gt;0"))</f>
        <v>0</v>
      </c>
      <c r="D11" s="0" t="n">
        <f aca="false">(SUMIFS(Suizo!$E$5:$E$12,Suizo!$C$5:$C$12,A11,Suizo!$K$5:$K$12,"&gt;0")+SUMIFS(Suizo!$F$5:$F$12,Suizo!$H$5:$H$12,A11,Suizo!$K$5:$K$12,"&gt;0"))</f>
        <v>0</v>
      </c>
      <c r="E11" s="0" t="n">
        <f aca="false">B11*100000000+(C11+500)*100000+D11*100-A11</f>
        <v>49999991</v>
      </c>
      <c r="F11" s="0" t="n">
        <v>9</v>
      </c>
      <c r="G11" s="0" t="n">
        <f aca="false">INDEX($A$3:$A$18,MATCH(LARGE($E$3:$E$18,F11),$E$3:$E$18,0))</f>
        <v>9</v>
      </c>
    </row>
    <row r="12" customFormat="false" ht="15" hidden="false" customHeight="false" outlineLevel="0" collapsed="false">
      <c r="A12" s="0" t="n">
        <v>10</v>
      </c>
      <c r="B12" s="0" t="n">
        <f aca="false">COUNTIF(Suizo!$K$5:$K$12,A12)</f>
        <v>0</v>
      </c>
      <c r="C12" s="0" t="n">
        <f aca="false">(SUMIFS(Suizo!$E$5:$E$12,Suizo!$C$5:$C$12,A12,Suizo!$K$5:$K$12,"&gt;0")+SUMIFS(Suizo!$F$5:$F$12,Suizo!$H$5:$H$12,A12,Suizo!$K$5:$K$12,"&gt;0"))-(SUMIFS(Suizo!$F$5:$F$12,Suizo!$C$5:$C$12,A12,Suizo!$K$5:$K$12,"&gt;0")+SUMIFS(Suizo!$E$5:$E$12,Suizo!$H$5:$H$12,A12,Suizo!$K$5:$K$12,"&gt;0"))</f>
        <v>0</v>
      </c>
      <c r="D12" s="0" t="n">
        <f aca="false">(SUMIFS(Suizo!$E$5:$E$12,Suizo!$C$5:$C$12,A12,Suizo!$K$5:$K$12,"&gt;0")+SUMIFS(Suizo!$F$5:$F$12,Suizo!$H$5:$H$12,A12,Suizo!$K$5:$K$12,"&gt;0"))</f>
        <v>0</v>
      </c>
      <c r="E12" s="0" t="n">
        <f aca="false">B12*100000000+(C12+500)*100000+D12*100-A12</f>
        <v>49999990</v>
      </c>
      <c r="F12" s="0" t="n">
        <v>10</v>
      </c>
      <c r="G12" s="0" t="n">
        <f aca="false">INDEX($A$3:$A$18,MATCH(LARGE($E$3:$E$18,F12),$E$3:$E$18,0))</f>
        <v>10</v>
      </c>
    </row>
    <row r="13" customFormat="false" ht="15" hidden="false" customHeight="false" outlineLevel="0" collapsed="false">
      <c r="A13" s="0" t="n">
        <v>11</v>
      </c>
      <c r="B13" s="0" t="n">
        <f aca="false">COUNTIF(Suizo!$K$5:$K$12,A13)</f>
        <v>0</v>
      </c>
      <c r="C13" s="0" t="n">
        <f aca="false">(SUMIFS(Suizo!$E$5:$E$12,Suizo!$C$5:$C$12,A13,Suizo!$K$5:$K$12,"&gt;0")+SUMIFS(Suizo!$F$5:$F$12,Suizo!$H$5:$H$12,A13,Suizo!$K$5:$K$12,"&gt;0"))-(SUMIFS(Suizo!$F$5:$F$12,Suizo!$C$5:$C$12,A13,Suizo!$K$5:$K$12,"&gt;0")+SUMIFS(Suizo!$E$5:$E$12,Suizo!$H$5:$H$12,A13,Suizo!$K$5:$K$12,"&gt;0"))</f>
        <v>0</v>
      </c>
      <c r="D13" s="0" t="n">
        <f aca="false">(SUMIFS(Suizo!$E$5:$E$12,Suizo!$C$5:$C$12,A13,Suizo!$K$5:$K$12,"&gt;0")+SUMIFS(Suizo!$F$5:$F$12,Suizo!$H$5:$H$12,A13,Suizo!$K$5:$K$12,"&gt;0"))</f>
        <v>0</v>
      </c>
      <c r="E13" s="0" t="n">
        <f aca="false">B13*100000000+(C13+500)*100000+D13*100-A13</f>
        <v>49999989</v>
      </c>
      <c r="F13" s="0" t="n">
        <v>11</v>
      </c>
      <c r="G13" s="0" t="n">
        <f aca="false">INDEX($A$3:$A$18,MATCH(LARGE($E$3:$E$18,F13),$E$3:$E$18,0))</f>
        <v>11</v>
      </c>
    </row>
    <row r="14" customFormat="false" ht="15" hidden="false" customHeight="false" outlineLevel="0" collapsed="false">
      <c r="A14" s="0" t="n">
        <v>12</v>
      </c>
      <c r="B14" s="0" t="n">
        <f aca="false">COUNTIF(Suizo!$K$5:$K$12,A14)</f>
        <v>0</v>
      </c>
      <c r="C14" s="0" t="n">
        <f aca="false">(SUMIFS(Suizo!$E$5:$E$12,Suizo!$C$5:$C$12,A14,Suizo!$K$5:$K$12,"&gt;0")+SUMIFS(Suizo!$F$5:$F$12,Suizo!$H$5:$H$12,A14,Suizo!$K$5:$K$12,"&gt;0"))-(SUMIFS(Suizo!$F$5:$F$12,Suizo!$C$5:$C$12,A14,Suizo!$K$5:$K$12,"&gt;0")+SUMIFS(Suizo!$E$5:$E$12,Suizo!$H$5:$H$12,A14,Suizo!$K$5:$K$12,"&gt;0"))</f>
        <v>0</v>
      </c>
      <c r="D14" s="0" t="n">
        <f aca="false">(SUMIFS(Suizo!$E$5:$E$12,Suizo!$C$5:$C$12,A14,Suizo!$K$5:$K$12,"&gt;0")+SUMIFS(Suizo!$F$5:$F$12,Suizo!$H$5:$H$12,A14,Suizo!$K$5:$K$12,"&gt;0"))</f>
        <v>0</v>
      </c>
      <c r="E14" s="0" t="n">
        <f aca="false">B14*100000000+(C14+500)*100000+D14*100-A14</f>
        <v>49999988</v>
      </c>
      <c r="F14" s="0" t="n">
        <v>12</v>
      </c>
      <c r="G14" s="0" t="n">
        <f aca="false">INDEX($A$3:$A$18,MATCH(LARGE($E$3:$E$18,F14),$E$3:$E$18,0))</f>
        <v>12</v>
      </c>
    </row>
    <row r="15" customFormat="false" ht="15" hidden="false" customHeight="false" outlineLevel="0" collapsed="false">
      <c r="A15" s="0" t="n">
        <v>13</v>
      </c>
      <c r="B15" s="0" t="n">
        <f aca="false">COUNTIF(Suizo!$K$5:$K$12,A15)</f>
        <v>0</v>
      </c>
      <c r="C15" s="0" t="n">
        <f aca="false">(SUMIFS(Suizo!$E$5:$E$12,Suizo!$C$5:$C$12,A15,Suizo!$K$5:$K$12,"&gt;0")+SUMIFS(Suizo!$F$5:$F$12,Suizo!$H$5:$H$12,A15,Suizo!$K$5:$K$12,"&gt;0"))-(SUMIFS(Suizo!$F$5:$F$12,Suizo!$C$5:$C$12,A15,Suizo!$K$5:$K$12,"&gt;0")+SUMIFS(Suizo!$E$5:$E$12,Suizo!$H$5:$H$12,A15,Suizo!$K$5:$K$12,"&gt;0"))</f>
        <v>0</v>
      </c>
      <c r="D15" s="0" t="n">
        <f aca="false">(SUMIFS(Suizo!$E$5:$E$12,Suizo!$C$5:$C$12,A15,Suizo!$K$5:$K$12,"&gt;0")+SUMIFS(Suizo!$F$5:$F$12,Suizo!$H$5:$H$12,A15,Suizo!$K$5:$K$12,"&gt;0"))</f>
        <v>0</v>
      </c>
      <c r="E15" s="0" t="n">
        <f aca="false">B15*100000000+(C15+500)*100000+D15*100-A15</f>
        <v>49999987</v>
      </c>
      <c r="F15" s="0" t="n">
        <v>13</v>
      </c>
      <c r="G15" s="0" t="n">
        <f aca="false">INDEX($A$3:$A$18,MATCH(LARGE($E$3:$E$18,F15),$E$3:$E$18,0))</f>
        <v>13</v>
      </c>
    </row>
    <row r="16" customFormat="false" ht="15" hidden="false" customHeight="false" outlineLevel="0" collapsed="false">
      <c r="A16" s="0" t="n">
        <v>14</v>
      </c>
      <c r="B16" s="0" t="n">
        <f aca="false">COUNTIF(Suizo!$K$5:$K$12,A16)</f>
        <v>0</v>
      </c>
      <c r="C16" s="0" t="n">
        <f aca="false">(SUMIFS(Suizo!$E$5:$E$12,Suizo!$C$5:$C$12,A16,Suizo!$K$5:$K$12,"&gt;0")+SUMIFS(Suizo!$F$5:$F$12,Suizo!$H$5:$H$12,A16,Suizo!$K$5:$K$12,"&gt;0"))-(SUMIFS(Suizo!$F$5:$F$12,Suizo!$C$5:$C$12,A16,Suizo!$K$5:$K$12,"&gt;0")+SUMIFS(Suizo!$E$5:$E$12,Suizo!$H$5:$H$12,A16,Suizo!$K$5:$K$12,"&gt;0"))</f>
        <v>0</v>
      </c>
      <c r="D16" s="0" t="n">
        <f aca="false">(SUMIFS(Suizo!$E$5:$E$12,Suizo!$C$5:$C$12,A16,Suizo!$K$5:$K$12,"&gt;0")+SUMIFS(Suizo!$F$5:$F$12,Suizo!$H$5:$H$12,A16,Suizo!$K$5:$K$12,"&gt;0"))</f>
        <v>0</v>
      </c>
      <c r="E16" s="0" t="n">
        <f aca="false">B16*100000000+(C16+500)*100000+D16*100-A16</f>
        <v>49999986</v>
      </c>
      <c r="F16" s="0" t="n">
        <v>14</v>
      </c>
      <c r="G16" s="0" t="n">
        <f aca="false">INDEX($A$3:$A$18,MATCH(LARGE($E$3:$E$18,F16),$E$3:$E$18,0))</f>
        <v>14</v>
      </c>
    </row>
    <row r="17" customFormat="false" ht="15" hidden="false" customHeight="false" outlineLevel="0" collapsed="false">
      <c r="A17" s="0" t="n">
        <v>15</v>
      </c>
      <c r="B17" s="0" t="n">
        <f aca="false">COUNTIF(Suizo!$K$5:$K$12,A17)</f>
        <v>0</v>
      </c>
      <c r="C17" s="0" t="n">
        <f aca="false">(SUMIFS(Suizo!$E$5:$E$12,Suizo!$C$5:$C$12,A17,Suizo!$K$5:$K$12,"&gt;0")+SUMIFS(Suizo!$F$5:$F$12,Suizo!$H$5:$H$12,A17,Suizo!$K$5:$K$12,"&gt;0"))-(SUMIFS(Suizo!$F$5:$F$12,Suizo!$C$5:$C$12,A17,Suizo!$K$5:$K$12,"&gt;0")+SUMIFS(Suizo!$E$5:$E$12,Suizo!$H$5:$H$12,A17,Suizo!$K$5:$K$12,"&gt;0"))</f>
        <v>0</v>
      </c>
      <c r="D17" s="0" t="n">
        <f aca="false">(SUMIFS(Suizo!$E$5:$E$12,Suizo!$C$5:$C$12,A17,Suizo!$K$5:$K$12,"&gt;0")+SUMIFS(Suizo!$F$5:$F$12,Suizo!$H$5:$H$12,A17,Suizo!$K$5:$K$12,"&gt;0"))</f>
        <v>0</v>
      </c>
      <c r="E17" s="0" t="n">
        <f aca="false">B17*100000000+(C17+500)*100000+D17*100-A17</f>
        <v>49999985</v>
      </c>
      <c r="F17" s="0" t="n">
        <v>15</v>
      </c>
      <c r="G17" s="0" t="n">
        <f aca="false">INDEX($A$3:$A$18,MATCH(LARGE($E$3:$E$18,F17),$E$3:$E$18,0))</f>
        <v>15</v>
      </c>
    </row>
    <row r="18" customFormat="false" ht="15" hidden="false" customHeight="false" outlineLevel="0" collapsed="false">
      <c r="A18" s="0" t="n">
        <v>16</v>
      </c>
      <c r="B18" s="0" t="n">
        <f aca="false">COUNTIF(Suizo!$K$5:$K$12,A18)</f>
        <v>0</v>
      </c>
      <c r="C18" s="0" t="n">
        <f aca="false">(SUMIFS(Suizo!$E$5:$E$12,Suizo!$C$5:$C$12,A18,Suizo!$K$5:$K$12,"&gt;0")+SUMIFS(Suizo!$F$5:$F$12,Suizo!$H$5:$H$12,A18,Suizo!$K$5:$K$12,"&gt;0"))-(SUMIFS(Suizo!$F$5:$F$12,Suizo!$C$5:$C$12,A18,Suizo!$K$5:$K$12,"&gt;0")+SUMIFS(Suizo!$E$5:$E$12,Suizo!$H$5:$H$12,A18,Suizo!$K$5:$K$12,"&gt;0"))</f>
        <v>0</v>
      </c>
      <c r="D18" s="0" t="n">
        <f aca="false">(SUMIFS(Suizo!$E$5:$E$12,Suizo!$C$5:$C$12,A18,Suizo!$K$5:$K$12,"&gt;0")+SUMIFS(Suizo!$F$5:$F$12,Suizo!$H$5:$H$12,A18,Suizo!$K$5:$K$12,"&gt;0"))</f>
        <v>0</v>
      </c>
      <c r="E18" s="0" t="n">
        <f aca="false">B18*100000000+(C18+500)*100000+D18*100-A18</f>
        <v>49999984</v>
      </c>
      <c r="F18" s="0" t="n">
        <v>16</v>
      </c>
      <c r="G18" s="0" t="n">
        <f aca="false">INDEX($A$3:$A$18,MATCH(LARGE($E$3:$E$18,F18),$E$3:$E$18,0))</f>
        <v>16</v>
      </c>
    </row>
    <row r="20" customFormat="false" ht="15" hidden="false" customHeight="false" outlineLevel="0" collapsed="false">
      <c r="A20" s="0" t="s">
        <v>81</v>
      </c>
      <c r="B20" s="0" t="s">
        <v>82</v>
      </c>
      <c r="C20" s="0" t="s">
        <v>83</v>
      </c>
      <c r="D20" s="0" t="s">
        <v>50</v>
      </c>
      <c r="E20" s="0" t="s">
        <v>55</v>
      </c>
    </row>
    <row r="21" customFormat="false" ht="15" hidden="false" customHeight="false" outlineLevel="0" collapsed="false">
      <c r="A21" s="0" t="n">
        <v>1</v>
      </c>
      <c r="B21" s="0" t="n">
        <f aca="false">MATCH(0,F21:U21,0)</f>
        <v>1</v>
      </c>
      <c r="C21" s="0" t="n">
        <f aca="false">IF(MIN(V21:AK21)&lt;99,MIN(V21:AK21),MIN(AL21:BA21))</f>
        <v>2</v>
      </c>
      <c r="D21" s="0" t="n">
        <f aca="false">INDEX($G$3:$G$18,B21)</f>
        <v>1</v>
      </c>
      <c r="E21" s="0" t="n">
        <f aca="false">INDEX($G$3:$G$18,C21)</f>
        <v>2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f aca="false">IF(AND(F21=0,1&gt;B21,(COUNTIFS(Suizo!$C$5:$C$12,D21,Suizo!$H$5:$H$12,INDEX($G$3:$G$18,1))+COUNTIFS(Suizo!$C$5:$C$12,INDEX($G$3:$G$18,1),Suizo!$H$5:$H$12,D21))=0),1,99)</f>
        <v>99</v>
      </c>
      <c r="W21" s="0" t="n">
        <f aca="false">IF(AND(G21=0,2&gt;B21,(COUNTIFS(Suizo!$C$5:$C$12,D21,Suizo!$H$5:$H$12,INDEX($G$3:$G$18,2))+COUNTIFS(Suizo!$C$5:$C$12,INDEX($G$3:$G$18,2),Suizo!$H$5:$H$12,D21))=0),2,99)</f>
        <v>2</v>
      </c>
      <c r="X21" s="0" t="n">
        <f aca="false">IF(AND(H21=0,3&gt;B21,(COUNTIFS(Suizo!$C$5:$C$12,D21,Suizo!$H$5:$H$12,INDEX($G$3:$G$18,3))+COUNTIFS(Suizo!$C$5:$C$12,INDEX($G$3:$G$18,3),Suizo!$H$5:$H$12,D21))=0),3,99)</f>
        <v>3</v>
      </c>
      <c r="Y21" s="0" t="n">
        <f aca="false">IF(AND(I21=0,4&gt;B21,(COUNTIFS(Suizo!$C$5:$C$12,D21,Suizo!$H$5:$H$12,INDEX($G$3:$G$18,4))+COUNTIFS(Suizo!$C$5:$C$12,INDEX($G$3:$G$18,4),Suizo!$H$5:$H$12,D21))=0),4,99)</f>
        <v>4</v>
      </c>
      <c r="Z21" s="0" t="n">
        <f aca="false">IF(AND(J21=0,5&gt;B21,(COUNTIFS(Suizo!$C$5:$C$12,D21,Suizo!$H$5:$H$12,INDEX($G$3:$G$18,5))+COUNTIFS(Suizo!$C$5:$C$12,INDEX($G$3:$G$18,5),Suizo!$H$5:$H$12,D21))=0),5,99)</f>
        <v>5</v>
      </c>
      <c r="AA21" s="0" t="n">
        <f aca="false">IF(AND(K21=0,6&gt;B21,(COUNTIFS(Suizo!$C$5:$C$12,D21,Suizo!$H$5:$H$12,INDEX($G$3:$G$18,6))+COUNTIFS(Suizo!$C$5:$C$12,INDEX($G$3:$G$18,6),Suizo!$H$5:$H$12,D21))=0),6,99)</f>
        <v>6</v>
      </c>
      <c r="AB21" s="0" t="n">
        <f aca="false">IF(AND(L21=0,7&gt;B21,(COUNTIFS(Suizo!$C$5:$C$12,D21,Suizo!$H$5:$H$12,INDEX($G$3:$G$18,7))+COUNTIFS(Suizo!$C$5:$C$12,INDEX($G$3:$G$18,7),Suizo!$H$5:$H$12,D21))=0),7,99)</f>
        <v>99</v>
      </c>
      <c r="AC21" s="0" t="n">
        <f aca="false">IF(AND(M21=0,8&gt;B21,(COUNTIFS(Suizo!$C$5:$C$12,D21,Suizo!$H$5:$H$12,INDEX($G$3:$G$18,8))+COUNTIFS(Suizo!$C$5:$C$12,INDEX($G$3:$G$18,8),Suizo!$H$5:$H$12,D21))=0),8,99)</f>
        <v>8</v>
      </c>
      <c r="AD21" s="0" t="n">
        <f aca="false">IF(AND(N21=0,9&gt;B21,(COUNTIFS(Suizo!$C$5:$C$12,D21,Suizo!$H$5:$H$12,INDEX($G$3:$G$18,9))+COUNTIFS(Suizo!$C$5:$C$12,INDEX($G$3:$G$18,9),Suizo!$H$5:$H$12,D21))=0),9,99)</f>
        <v>9</v>
      </c>
      <c r="AE21" s="0" t="n">
        <f aca="false">IF(AND(O21=0,10&gt;B21,(COUNTIFS(Suizo!$C$5:$C$12,D21,Suizo!$H$5:$H$12,INDEX($G$3:$G$18,10))+COUNTIFS(Suizo!$C$5:$C$12,INDEX($G$3:$G$18,10),Suizo!$H$5:$H$12,D21))=0),10,99)</f>
        <v>10</v>
      </c>
      <c r="AF21" s="0" t="n">
        <f aca="false">IF(AND(P21=0,11&gt;B21,(COUNTIFS(Suizo!$C$5:$C$12,D21,Suizo!$H$5:$H$12,INDEX($G$3:$G$18,11))+COUNTIFS(Suizo!$C$5:$C$12,INDEX($G$3:$G$18,11),Suizo!$H$5:$H$12,D21))=0),11,99)</f>
        <v>11</v>
      </c>
      <c r="AG21" s="0" t="n">
        <f aca="false">IF(AND(Q21=0,12&gt;B21,(COUNTIFS(Suizo!$C$5:$C$12,D21,Suizo!$H$5:$H$12,INDEX($G$3:$G$18,12))+COUNTIFS(Suizo!$C$5:$C$12,INDEX($G$3:$G$18,12),Suizo!$H$5:$H$12,D21))=0),12,99)</f>
        <v>12</v>
      </c>
      <c r="AH21" s="0" t="n">
        <f aca="false">IF(AND(R21=0,13&gt;B21,(COUNTIFS(Suizo!$C$5:$C$12,D21,Suizo!$H$5:$H$12,INDEX($G$3:$G$18,13))+COUNTIFS(Suizo!$C$5:$C$12,INDEX($G$3:$G$18,13),Suizo!$H$5:$H$12,D21))=0),13,99)</f>
        <v>13</v>
      </c>
      <c r="AI21" s="0" t="n">
        <f aca="false">IF(AND(S21=0,14&gt;B21,(COUNTIFS(Suizo!$C$5:$C$12,D21,Suizo!$H$5:$H$12,INDEX($G$3:$G$18,14))+COUNTIFS(Suizo!$C$5:$C$12,INDEX($G$3:$G$18,14),Suizo!$H$5:$H$12,D21))=0),14,99)</f>
        <v>14</v>
      </c>
      <c r="AJ21" s="0" t="n">
        <f aca="false">IF(AND(T21=0,15&gt;B21,(COUNTIFS(Suizo!$C$5:$C$12,D21,Suizo!$H$5:$H$12,INDEX($G$3:$G$18,15))+COUNTIFS(Suizo!$C$5:$C$12,INDEX($G$3:$G$18,15),Suizo!$H$5:$H$12,D21))=0),15,99)</f>
        <v>15</v>
      </c>
      <c r="AK21" s="0" t="n">
        <f aca="false">IF(AND(U21=0,16&gt;B21,(COUNTIFS(Suizo!$C$5:$C$12,D21,Suizo!$H$5:$H$12,INDEX($G$3:$G$18,16))+COUNTIFS(Suizo!$C$5:$C$12,INDEX($G$3:$G$18,16),Suizo!$H$5:$H$12,D21))=0),16,99)</f>
        <v>16</v>
      </c>
      <c r="AL21" s="0" t="n">
        <f aca="false">IF(AND(F21=0,1&gt;B21),1,99)</f>
        <v>99</v>
      </c>
      <c r="AM21" s="0" t="n">
        <f aca="false">IF(AND(G21=0,2&gt;B21),2,99)</f>
        <v>2</v>
      </c>
      <c r="AN21" s="0" t="n">
        <f aca="false">IF(AND(H21=0,3&gt;B21),3,99)</f>
        <v>3</v>
      </c>
      <c r="AO21" s="0" t="n">
        <f aca="false">IF(AND(I21=0,4&gt;B21),4,99)</f>
        <v>4</v>
      </c>
      <c r="AP21" s="0" t="n">
        <f aca="false">IF(AND(J21=0,5&gt;B21),5,99)</f>
        <v>5</v>
      </c>
      <c r="AQ21" s="0" t="n">
        <f aca="false">IF(AND(K21=0,6&gt;B21),6,99)</f>
        <v>6</v>
      </c>
      <c r="AR21" s="0" t="n">
        <f aca="false">IF(AND(L21=0,7&gt;B21),7,99)</f>
        <v>7</v>
      </c>
      <c r="AS21" s="0" t="n">
        <f aca="false">IF(AND(M21=0,8&gt;B21),8,99)</f>
        <v>8</v>
      </c>
      <c r="AT21" s="0" t="n">
        <f aca="false">IF(AND(N21=0,9&gt;B21),9,99)</f>
        <v>9</v>
      </c>
      <c r="AU21" s="0" t="n">
        <f aca="false">IF(AND(O21=0,10&gt;B21),10,99)</f>
        <v>10</v>
      </c>
      <c r="AV21" s="0" t="n">
        <f aca="false">IF(AND(P21=0,11&gt;B21),11,99)</f>
        <v>11</v>
      </c>
      <c r="AW21" s="0" t="n">
        <f aca="false">IF(AND(Q21=0,12&gt;B21),12,99)</f>
        <v>12</v>
      </c>
      <c r="AX21" s="0" t="n">
        <f aca="false">IF(AND(R21=0,13&gt;B21),13,99)</f>
        <v>13</v>
      </c>
      <c r="AY21" s="0" t="n">
        <f aca="false">IF(AND(S21=0,14&gt;B21),14,99)</f>
        <v>14</v>
      </c>
      <c r="AZ21" s="0" t="n">
        <f aca="false">IF(AND(T21=0,15&gt;B21),15,99)</f>
        <v>15</v>
      </c>
      <c r="BA21" s="0" t="n">
        <f aca="false">IF(AND(U21=0,16&gt;B21),16,99)</f>
        <v>16</v>
      </c>
      <c r="BB21" s="0" t="str">
        <f aca="false">IF(MIN(V21:AK21)=99,"REVANCHA","")</f>
        <v/>
      </c>
    </row>
    <row r="22" customFormat="false" ht="15" hidden="false" customHeight="false" outlineLevel="0" collapsed="false">
      <c r="A22" s="0" t="n">
        <v>2</v>
      </c>
      <c r="B22" s="0" t="n">
        <f aca="false">MATCH(0,F22:U22,0)</f>
        <v>3</v>
      </c>
      <c r="C22" s="0" t="n">
        <f aca="false">IF(MIN(V22:AK22)&lt;99,MIN(V22:AK22),MIN(AL22:BA22))</f>
        <v>5</v>
      </c>
      <c r="D22" s="0" t="n">
        <f aca="false">INDEX($G$3:$G$18,B22)</f>
        <v>3</v>
      </c>
      <c r="E22" s="0" t="n">
        <f aca="false">INDEX($G$3:$G$18,C22)</f>
        <v>5</v>
      </c>
      <c r="F22" s="0" t="n">
        <f aca="false">IF(OR(F21=1,B21=1,C21=1),1,0)</f>
        <v>1</v>
      </c>
      <c r="G22" s="0" t="n">
        <f aca="false">IF(OR(G21=1,B21=2,C21=2),1,0)</f>
        <v>1</v>
      </c>
      <c r="H22" s="0" t="n">
        <f aca="false">IF(OR(H21=1,B21=3,C21=3),1,0)</f>
        <v>0</v>
      </c>
      <c r="I22" s="0" t="n">
        <f aca="false">IF(OR(I21=1,B21=4,C21=4),1,0)</f>
        <v>0</v>
      </c>
      <c r="J22" s="0" t="n">
        <f aca="false">IF(OR(J21=1,B21=5,C21=5),1,0)</f>
        <v>0</v>
      </c>
      <c r="K22" s="0" t="n">
        <f aca="false">IF(OR(K21=1,B21=6,C21=6),1,0)</f>
        <v>0</v>
      </c>
      <c r="L22" s="0" t="n">
        <f aca="false">IF(OR(L21=1,B21=7,C21=7),1,0)</f>
        <v>0</v>
      </c>
      <c r="M22" s="0" t="n">
        <f aca="false">IF(OR(M21=1,B21=8,C21=8),1,0)</f>
        <v>0</v>
      </c>
      <c r="N22" s="0" t="n">
        <f aca="false">IF(OR(N21=1,B21=9,C21=9),1,0)</f>
        <v>0</v>
      </c>
      <c r="O22" s="0" t="n">
        <f aca="false">IF(OR(O21=1,B21=10,C21=10),1,0)</f>
        <v>0</v>
      </c>
      <c r="P22" s="0" t="n">
        <f aca="false">IF(OR(P21=1,B21=11,C21=11),1,0)</f>
        <v>0</v>
      </c>
      <c r="Q22" s="0" t="n">
        <f aca="false">IF(OR(Q21=1,B21=12,C21=12),1,0)</f>
        <v>0</v>
      </c>
      <c r="R22" s="0" t="n">
        <f aca="false">IF(OR(R21=1,B21=13,C21=13),1,0)</f>
        <v>0</v>
      </c>
      <c r="S22" s="0" t="n">
        <f aca="false">IF(OR(S21=1,B21=14,C21=14),1,0)</f>
        <v>0</v>
      </c>
      <c r="T22" s="0" t="n">
        <f aca="false">IF(OR(T21=1,B21=15,C21=15),1,0)</f>
        <v>0</v>
      </c>
      <c r="U22" s="0" t="n">
        <f aca="false">IF(OR(U21=1,B21=16,C21=16),1,0)</f>
        <v>0</v>
      </c>
      <c r="V22" s="0" t="n">
        <f aca="false">IF(AND(F22=0,1&gt;B22,(COUNTIFS(Suizo!$C$5:$C$12,D22,Suizo!$H$5:$H$12,INDEX($G$3:$G$18,1))+COUNTIFS(Suizo!$C$5:$C$12,INDEX($G$3:$G$18,1),Suizo!$H$5:$H$12,D22))=0),1,99)</f>
        <v>99</v>
      </c>
      <c r="W22" s="0" t="n">
        <f aca="false">IF(AND(G22=0,2&gt;B22,(COUNTIFS(Suizo!$C$5:$C$12,D22,Suizo!$H$5:$H$12,INDEX($G$3:$G$18,2))+COUNTIFS(Suizo!$C$5:$C$12,INDEX($G$3:$G$18,2),Suizo!$H$5:$H$12,D22))=0),2,99)</f>
        <v>99</v>
      </c>
      <c r="X22" s="0" t="n">
        <f aca="false">IF(AND(H22=0,3&gt;B22,(COUNTIFS(Suizo!$C$5:$C$12,D22,Suizo!$H$5:$H$12,INDEX($G$3:$G$18,3))+COUNTIFS(Suizo!$C$5:$C$12,INDEX($G$3:$G$18,3),Suizo!$H$5:$H$12,D22))=0),3,99)</f>
        <v>99</v>
      </c>
      <c r="Y22" s="0" t="n">
        <f aca="false">IF(AND(I22=0,4&gt;B22,(COUNTIFS(Suizo!$C$5:$C$12,D22,Suizo!$H$5:$H$12,INDEX($G$3:$G$18,4))+COUNTIFS(Suizo!$C$5:$C$12,INDEX($G$3:$G$18,4),Suizo!$H$5:$H$12,D22))=0),4,99)</f>
        <v>99</v>
      </c>
      <c r="Z22" s="0" t="n">
        <f aca="false">IF(AND(J22=0,5&gt;B22,(COUNTIFS(Suizo!$C$5:$C$12,D22,Suizo!$H$5:$H$12,INDEX($G$3:$G$18,5))+COUNTIFS(Suizo!$C$5:$C$12,INDEX($G$3:$G$18,5),Suizo!$H$5:$H$12,D22))=0),5,99)</f>
        <v>5</v>
      </c>
      <c r="AA22" s="0" t="n">
        <f aca="false">IF(AND(K22=0,6&gt;B22,(COUNTIFS(Suizo!$C$5:$C$12,D22,Suizo!$H$5:$H$12,INDEX($G$3:$G$18,6))+COUNTIFS(Suizo!$C$5:$C$12,INDEX($G$3:$G$18,6),Suizo!$H$5:$H$12,D22))=0),6,99)</f>
        <v>6</v>
      </c>
      <c r="AB22" s="0" t="n">
        <f aca="false">IF(AND(L22=0,7&gt;B22,(COUNTIFS(Suizo!$C$5:$C$12,D22,Suizo!$H$5:$H$12,INDEX($G$3:$G$18,7))+COUNTIFS(Suizo!$C$5:$C$12,INDEX($G$3:$G$18,7),Suizo!$H$5:$H$12,D22))=0),7,99)</f>
        <v>7</v>
      </c>
      <c r="AC22" s="0" t="n">
        <f aca="false">IF(AND(M22=0,8&gt;B22,(COUNTIFS(Suizo!$C$5:$C$12,D22,Suizo!$H$5:$H$12,INDEX($G$3:$G$18,8))+COUNTIFS(Suizo!$C$5:$C$12,INDEX($G$3:$G$18,8),Suizo!$H$5:$H$12,D22))=0),8,99)</f>
        <v>8</v>
      </c>
      <c r="AD22" s="0" t="n">
        <f aca="false">IF(AND(N22=0,9&gt;B22,(COUNTIFS(Suizo!$C$5:$C$12,D22,Suizo!$H$5:$H$12,INDEX($G$3:$G$18,9))+COUNTIFS(Suizo!$C$5:$C$12,INDEX($G$3:$G$18,9),Suizo!$H$5:$H$12,D22))=0),9,99)</f>
        <v>9</v>
      </c>
      <c r="AE22" s="0" t="n">
        <f aca="false">IF(AND(O22=0,10&gt;B22,(COUNTIFS(Suizo!$C$5:$C$12,D22,Suizo!$H$5:$H$12,INDEX($G$3:$G$18,10))+COUNTIFS(Suizo!$C$5:$C$12,INDEX($G$3:$G$18,10),Suizo!$H$5:$H$12,D22))=0),10,99)</f>
        <v>10</v>
      </c>
      <c r="AF22" s="0" t="n">
        <f aca="false">IF(AND(P22=0,11&gt;B22,(COUNTIFS(Suizo!$C$5:$C$12,D22,Suizo!$H$5:$H$12,INDEX($G$3:$G$18,11))+COUNTIFS(Suizo!$C$5:$C$12,INDEX($G$3:$G$18,11),Suizo!$H$5:$H$12,D22))=0),11,99)</f>
        <v>11</v>
      </c>
      <c r="AG22" s="0" t="n">
        <f aca="false">IF(AND(Q22=0,12&gt;B22,(COUNTIFS(Suizo!$C$5:$C$12,D22,Suizo!$H$5:$H$12,INDEX($G$3:$G$18,12))+COUNTIFS(Suizo!$C$5:$C$12,INDEX($G$3:$G$18,12),Suizo!$H$5:$H$12,D22))=0),12,99)</f>
        <v>12</v>
      </c>
      <c r="AH22" s="0" t="n">
        <f aca="false">IF(AND(R22=0,13&gt;B22,(COUNTIFS(Suizo!$C$5:$C$12,D22,Suizo!$H$5:$H$12,INDEX($G$3:$G$18,13))+COUNTIFS(Suizo!$C$5:$C$12,INDEX($G$3:$G$18,13),Suizo!$H$5:$H$12,D22))=0),13,99)</f>
        <v>13</v>
      </c>
      <c r="AI22" s="0" t="n">
        <f aca="false">IF(AND(S22=0,14&gt;B22,(COUNTIFS(Suizo!$C$5:$C$12,D22,Suizo!$H$5:$H$12,INDEX($G$3:$G$18,14))+COUNTIFS(Suizo!$C$5:$C$12,INDEX($G$3:$G$18,14),Suizo!$H$5:$H$12,D22))=0),14,99)</f>
        <v>14</v>
      </c>
      <c r="AJ22" s="0" t="n">
        <f aca="false">IF(AND(T22=0,15&gt;B22,(COUNTIFS(Suizo!$C$5:$C$12,D22,Suizo!$H$5:$H$12,INDEX($G$3:$G$18,15))+COUNTIFS(Suizo!$C$5:$C$12,INDEX($G$3:$G$18,15),Suizo!$H$5:$H$12,D22))=0),15,99)</f>
        <v>15</v>
      </c>
      <c r="AK22" s="0" t="n">
        <f aca="false">IF(AND(U22=0,16&gt;B22,(COUNTIFS(Suizo!$C$5:$C$12,D22,Suizo!$H$5:$H$12,INDEX($G$3:$G$18,16))+COUNTIFS(Suizo!$C$5:$C$12,INDEX($G$3:$G$18,16),Suizo!$H$5:$H$12,D22))=0),16,99)</f>
        <v>16</v>
      </c>
      <c r="AL22" s="0" t="n">
        <f aca="false">IF(AND(F22=0,1&gt;B22),1,99)</f>
        <v>99</v>
      </c>
      <c r="AM22" s="0" t="n">
        <f aca="false">IF(AND(G22=0,2&gt;B22),2,99)</f>
        <v>99</v>
      </c>
      <c r="AN22" s="0" t="n">
        <f aca="false">IF(AND(H22=0,3&gt;B22),3,99)</f>
        <v>99</v>
      </c>
      <c r="AO22" s="0" t="n">
        <f aca="false">IF(AND(I22=0,4&gt;B22),4,99)</f>
        <v>4</v>
      </c>
      <c r="AP22" s="0" t="n">
        <f aca="false">IF(AND(J22=0,5&gt;B22),5,99)</f>
        <v>5</v>
      </c>
      <c r="AQ22" s="0" t="n">
        <f aca="false">IF(AND(K22=0,6&gt;B22),6,99)</f>
        <v>6</v>
      </c>
      <c r="AR22" s="0" t="n">
        <f aca="false">IF(AND(L22=0,7&gt;B22),7,99)</f>
        <v>7</v>
      </c>
      <c r="AS22" s="0" t="n">
        <f aca="false">IF(AND(M22=0,8&gt;B22),8,99)</f>
        <v>8</v>
      </c>
      <c r="AT22" s="0" t="n">
        <f aca="false">IF(AND(N22=0,9&gt;B22),9,99)</f>
        <v>9</v>
      </c>
      <c r="AU22" s="0" t="n">
        <f aca="false">IF(AND(O22=0,10&gt;B22),10,99)</f>
        <v>10</v>
      </c>
      <c r="AV22" s="0" t="n">
        <f aca="false">IF(AND(P22=0,11&gt;B22),11,99)</f>
        <v>11</v>
      </c>
      <c r="AW22" s="0" t="n">
        <f aca="false">IF(AND(Q22=0,12&gt;B22),12,99)</f>
        <v>12</v>
      </c>
      <c r="AX22" s="0" t="n">
        <f aca="false">IF(AND(R22=0,13&gt;B22),13,99)</f>
        <v>13</v>
      </c>
      <c r="AY22" s="0" t="n">
        <f aca="false">IF(AND(S22=0,14&gt;B22),14,99)</f>
        <v>14</v>
      </c>
      <c r="AZ22" s="0" t="n">
        <f aca="false">IF(AND(T22=0,15&gt;B22),15,99)</f>
        <v>15</v>
      </c>
      <c r="BA22" s="0" t="n">
        <f aca="false">IF(AND(U22=0,16&gt;B22),16,99)</f>
        <v>16</v>
      </c>
      <c r="BB22" s="0" t="str">
        <f aca="false">IF(MIN(V22:AK22)=99,"REVANCHA","")</f>
        <v/>
      </c>
    </row>
    <row r="23" customFormat="false" ht="15" hidden="false" customHeight="false" outlineLevel="0" collapsed="false">
      <c r="A23" s="0" t="n">
        <v>3</v>
      </c>
      <c r="B23" s="0" t="n">
        <f aca="false">MATCH(0,F23:U23,0)</f>
        <v>4</v>
      </c>
      <c r="C23" s="0" t="n">
        <f aca="false">IF(MIN(V23:AK23)&lt;99,MIN(V23:AK23),MIN(AL23:BA23))</f>
        <v>6</v>
      </c>
      <c r="D23" s="0" t="n">
        <f aca="false">INDEX($G$3:$G$18,B23)</f>
        <v>4</v>
      </c>
      <c r="E23" s="0" t="n">
        <f aca="false">INDEX($G$3:$G$18,C23)</f>
        <v>6</v>
      </c>
      <c r="F23" s="0" t="n">
        <f aca="false">IF(OR(F22=1,B22=1,C22=1),1,0)</f>
        <v>1</v>
      </c>
      <c r="G23" s="0" t="n">
        <f aca="false">IF(OR(G22=1,B22=2,C22=2),1,0)</f>
        <v>1</v>
      </c>
      <c r="H23" s="0" t="n">
        <f aca="false">IF(OR(H22=1,B22=3,C22=3),1,0)</f>
        <v>1</v>
      </c>
      <c r="I23" s="0" t="n">
        <f aca="false">IF(OR(I22=1,B22=4,C22=4),1,0)</f>
        <v>0</v>
      </c>
      <c r="J23" s="0" t="n">
        <f aca="false">IF(OR(J22=1,B22=5,C22=5),1,0)</f>
        <v>1</v>
      </c>
      <c r="K23" s="0" t="n">
        <f aca="false">IF(OR(K22=1,B22=6,C22=6),1,0)</f>
        <v>0</v>
      </c>
      <c r="L23" s="0" t="n">
        <f aca="false">IF(OR(L22=1,B22=7,C22=7),1,0)</f>
        <v>0</v>
      </c>
      <c r="M23" s="0" t="n">
        <f aca="false">IF(OR(M22=1,B22=8,C22=8),1,0)</f>
        <v>0</v>
      </c>
      <c r="N23" s="0" t="n">
        <f aca="false">IF(OR(N22=1,B22=9,C22=9),1,0)</f>
        <v>0</v>
      </c>
      <c r="O23" s="0" t="n">
        <f aca="false">IF(OR(O22=1,B22=10,C22=10),1,0)</f>
        <v>0</v>
      </c>
      <c r="P23" s="0" t="n">
        <f aca="false">IF(OR(P22=1,B22=11,C22=11),1,0)</f>
        <v>0</v>
      </c>
      <c r="Q23" s="0" t="n">
        <f aca="false">IF(OR(Q22=1,B22=12,C22=12),1,0)</f>
        <v>0</v>
      </c>
      <c r="R23" s="0" t="n">
        <f aca="false">IF(OR(R22=1,B22=13,C22=13),1,0)</f>
        <v>0</v>
      </c>
      <c r="S23" s="0" t="n">
        <f aca="false">IF(OR(S22=1,B22=14,C22=14),1,0)</f>
        <v>0</v>
      </c>
      <c r="T23" s="0" t="n">
        <f aca="false">IF(OR(T22=1,B22=15,C22=15),1,0)</f>
        <v>0</v>
      </c>
      <c r="U23" s="0" t="n">
        <f aca="false">IF(OR(U22=1,B22=16,C22=16),1,0)</f>
        <v>0</v>
      </c>
      <c r="V23" s="0" t="n">
        <f aca="false">IF(AND(F23=0,1&gt;B23,(COUNTIFS(Suizo!$C$5:$C$12,D23,Suizo!$H$5:$H$12,INDEX($G$3:$G$18,1))+COUNTIFS(Suizo!$C$5:$C$12,INDEX($G$3:$G$18,1),Suizo!$H$5:$H$12,D23))=0),1,99)</f>
        <v>99</v>
      </c>
      <c r="W23" s="0" t="n">
        <f aca="false">IF(AND(G23=0,2&gt;B23,(COUNTIFS(Suizo!$C$5:$C$12,D23,Suizo!$H$5:$H$12,INDEX($G$3:$G$18,2))+COUNTIFS(Suizo!$C$5:$C$12,INDEX($G$3:$G$18,2),Suizo!$H$5:$H$12,D23))=0),2,99)</f>
        <v>99</v>
      </c>
      <c r="X23" s="0" t="n">
        <f aca="false">IF(AND(H23=0,3&gt;B23,(COUNTIFS(Suizo!$C$5:$C$12,D23,Suizo!$H$5:$H$12,INDEX($G$3:$G$18,3))+COUNTIFS(Suizo!$C$5:$C$12,INDEX($G$3:$G$18,3),Suizo!$H$5:$H$12,D23))=0),3,99)</f>
        <v>99</v>
      </c>
      <c r="Y23" s="0" t="n">
        <f aca="false">IF(AND(I23=0,4&gt;B23,(COUNTIFS(Suizo!$C$5:$C$12,D23,Suizo!$H$5:$H$12,INDEX($G$3:$G$18,4))+COUNTIFS(Suizo!$C$5:$C$12,INDEX($G$3:$G$18,4),Suizo!$H$5:$H$12,D23))=0),4,99)</f>
        <v>99</v>
      </c>
      <c r="Z23" s="0" t="n">
        <f aca="false">IF(AND(J23=0,5&gt;B23,(COUNTIFS(Suizo!$C$5:$C$12,D23,Suizo!$H$5:$H$12,INDEX($G$3:$G$18,5))+COUNTIFS(Suizo!$C$5:$C$12,INDEX($G$3:$G$18,5),Suizo!$H$5:$H$12,D23))=0),5,99)</f>
        <v>99</v>
      </c>
      <c r="AA23" s="0" t="n">
        <f aca="false">IF(AND(K23=0,6&gt;B23,(COUNTIFS(Suizo!$C$5:$C$12,D23,Suizo!$H$5:$H$12,INDEX($G$3:$G$18,6))+COUNTIFS(Suizo!$C$5:$C$12,INDEX($G$3:$G$18,6),Suizo!$H$5:$H$12,D23))=0),6,99)</f>
        <v>6</v>
      </c>
      <c r="AB23" s="0" t="n">
        <f aca="false">IF(AND(L23=0,7&gt;B23,(COUNTIFS(Suizo!$C$5:$C$12,D23,Suizo!$H$5:$H$12,INDEX($G$3:$G$18,7))+COUNTIFS(Suizo!$C$5:$C$12,INDEX($G$3:$G$18,7),Suizo!$H$5:$H$12,D23))=0),7,99)</f>
        <v>7</v>
      </c>
      <c r="AC23" s="0" t="n">
        <f aca="false">IF(AND(M23=0,8&gt;B23,(COUNTIFS(Suizo!$C$5:$C$12,D23,Suizo!$H$5:$H$12,INDEX($G$3:$G$18,8))+COUNTIFS(Suizo!$C$5:$C$12,INDEX($G$3:$G$18,8),Suizo!$H$5:$H$12,D23))=0),8,99)</f>
        <v>8</v>
      </c>
      <c r="AD23" s="0" t="n">
        <f aca="false">IF(AND(N23=0,9&gt;B23,(COUNTIFS(Suizo!$C$5:$C$12,D23,Suizo!$H$5:$H$12,INDEX($G$3:$G$18,9))+COUNTIFS(Suizo!$C$5:$C$12,INDEX($G$3:$G$18,9),Suizo!$H$5:$H$12,D23))=0),9,99)</f>
        <v>9</v>
      </c>
      <c r="AE23" s="0" t="n">
        <f aca="false">IF(AND(O23=0,10&gt;B23,(COUNTIFS(Suizo!$C$5:$C$12,D23,Suizo!$H$5:$H$12,INDEX($G$3:$G$18,10))+COUNTIFS(Suizo!$C$5:$C$12,INDEX($G$3:$G$18,10),Suizo!$H$5:$H$12,D23))=0),10,99)</f>
        <v>10</v>
      </c>
      <c r="AF23" s="0" t="n">
        <f aca="false">IF(AND(P23=0,11&gt;B23,(COUNTIFS(Suizo!$C$5:$C$12,D23,Suizo!$H$5:$H$12,INDEX($G$3:$G$18,11))+COUNTIFS(Suizo!$C$5:$C$12,INDEX($G$3:$G$18,11),Suizo!$H$5:$H$12,D23))=0),11,99)</f>
        <v>11</v>
      </c>
      <c r="AG23" s="0" t="n">
        <f aca="false">IF(AND(Q23=0,12&gt;B23,(COUNTIFS(Suizo!$C$5:$C$12,D23,Suizo!$H$5:$H$12,INDEX($G$3:$G$18,12))+COUNTIFS(Suizo!$C$5:$C$12,INDEX($G$3:$G$18,12),Suizo!$H$5:$H$12,D23))=0),12,99)</f>
        <v>12</v>
      </c>
      <c r="AH23" s="0" t="n">
        <f aca="false">IF(AND(R23=0,13&gt;B23,(COUNTIFS(Suizo!$C$5:$C$12,D23,Suizo!$H$5:$H$12,INDEX($G$3:$G$18,13))+COUNTIFS(Suizo!$C$5:$C$12,INDEX($G$3:$G$18,13),Suizo!$H$5:$H$12,D23))=0),13,99)</f>
        <v>13</v>
      </c>
      <c r="AI23" s="0" t="n">
        <f aca="false">IF(AND(S23=0,14&gt;B23,(COUNTIFS(Suizo!$C$5:$C$12,D23,Suizo!$H$5:$H$12,INDEX($G$3:$G$18,14))+COUNTIFS(Suizo!$C$5:$C$12,INDEX($G$3:$G$18,14),Suizo!$H$5:$H$12,D23))=0),14,99)</f>
        <v>14</v>
      </c>
      <c r="AJ23" s="0" t="n">
        <f aca="false">IF(AND(T23=0,15&gt;B23,(COUNTIFS(Suizo!$C$5:$C$12,D23,Suizo!$H$5:$H$12,INDEX($G$3:$G$18,15))+COUNTIFS(Suizo!$C$5:$C$12,INDEX($G$3:$G$18,15),Suizo!$H$5:$H$12,D23))=0),15,99)</f>
        <v>15</v>
      </c>
      <c r="AK23" s="0" t="n">
        <f aca="false">IF(AND(U23=0,16&gt;B23,(COUNTIFS(Suizo!$C$5:$C$12,D23,Suizo!$H$5:$H$12,INDEX($G$3:$G$18,16))+COUNTIFS(Suizo!$C$5:$C$12,INDEX($G$3:$G$18,16),Suizo!$H$5:$H$12,D23))=0),16,99)</f>
        <v>16</v>
      </c>
      <c r="AL23" s="0" t="n">
        <f aca="false">IF(AND(F23=0,1&gt;B23),1,99)</f>
        <v>99</v>
      </c>
      <c r="AM23" s="0" t="n">
        <f aca="false">IF(AND(G23=0,2&gt;B23),2,99)</f>
        <v>99</v>
      </c>
      <c r="AN23" s="0" t="n">
        <f aca="false">IF(AND(H23=0,3&gt;B23),3,99)</f>
        <v>99</v>
      </c>
      <c r="AO23" s="0" t="n">
        <f aca="false">IF(AND(I23=0,4&gt;B23),4,99)</f>
        <v>99</v>
      </c>
      <c r="AP23" s="0" t="n">
        <f aca="false">IF(AND(J23=0,5&gt;B23),5,99)</f>
        <v>99</v>
      </c>
      <c r="AQ23" s="0" t="n">
        <f aca="false">IF(AND(K23=0,6&gt;B23),6,99)</f>
        <v>6</v>
      </c>
      <c r="AR23" s="0" t="n">
        <f aca="false">IF(AND(L23=0,7&gt;B23),7,99)</f>
        <v>7</v>
      </c>
      <c r="AS23" s="0" t="n">
        <f aca="false">IF(AND(M23=0,8&gt;B23),8,99)</f>
        <v>8</v>
      </c>
      <c r="AT23" s="0" t="n">
        <f aca="false">IF(AND(N23=0,9&gt;B23),9,99)</f>
        <v>9</v>
      </c>
      <c r="AU23" s="0" t="n">
        <f aca="false">IF(AND(O23=0,10&gt;B23),10,99)</f>
        <v>10</v>
      </c>
      <c r="AV23" s="0" t="n">
        <f aca="false">IF(AND(P23=0,11&gt;B23),11,99)</f>
        <v>11</v>
      </c>
      <c r="AW23" s="0" t="n">
        <f aca="false">IF(AND(Q23=0,12&gt;B23),12,99)</f>
        <v>12</v>
      </c>
      <c r="AX23" s="0" t="n">
        <f aca="false">IF(AND(R23=0,13&gt;B23),13,99)</f>
        <v>13</v>
      </c>
      <c r="AY23" s="0" t="n">
        <f aca="false">IF(AND(S23=0,14&gt;B23),14,99)</f>
        <v>14</v>
      </c>
      <c r="AZ23" s="0" t="n">
        <f aca="false">IF(AND(T23=0,15&gt;B23),15,99)</f>
        <v>15</v>
      </c>
      <c r="BA23" s="0" t="n">
        <f aca="false">IF(AND(U23=0,16&gt;B23),16,99)</f>
        <v>16</v>
      </c>
      <c r="BB23" s="0" t="str">
        <f aca="false">IF(MIN(V23:AK23)=99,"REVANCHA","")</f>
        <v/>
      </c>
    </row>
    <row r="24" customFormat="false" ht="15" hidden="false" customHeight="false" outlineLevel="0" collapsed="false">
      <c r="A24" s="0" t="n">
        <v>4</v>
      </c>
      <c r="B24" s="0" t="n">
        <f aca="false">MATCH(0,F24:U24,0)</f>
        <v>7</v>
      </c>
      <c r="C24" s="0" t="n">
        <f aca="false">IF(MIN(V24:AK24)&lt;99,MIN(V24:AK24),MIN(AL24:BA24))</f>
        <v>8</v>
      </c>
      <c r="D24" s="0" t="n">
        <f aca="false">INDEX($G$3:$G$18,B24)</f>
        <v>7</v>
      </c>
      <c r="E24" s="0" t="n">
        <f aca="false">INDEX($G$3:$G$18,C24)</f>
        <v>8</v>
      </c>
      <c r="F24" s="0" t="n">
        <f aca="false">IF(OR(F23=1,B23=1,C23=1),1,0)</f>
        <v>1</v>
      </c>
      <c r="G24" s="0" t="n">
        <f aca="false">IF(OR(G23=1,B23=2,C23=2),1,0)</f>
        <v>1</v>
      </c>
      <c r="H24" s="0" t="n">
        <f aca="false">IF(OR(H23=1,B23=3,C23=3),1,0)</f>
        <v>1</v>
      </c>
      <c r="I24" s="0" t="n">
        <f aca="false">IF(OR(I23=1,B23=4,C23=4),1,0)</f>
        <v>1</v>
      </c>
      <c r="J24" s="0" t="n">
        <f aca="false">IF(OR(J23=1,B23=5,C23=5),1,0)</f>
        <v>1</v>
      </c>
      <c r="K24" s="0" t="n">
        <f aca="false">IF(OR(K23=1,B23=6,C23=6),1,0)</f>
        <v>1</v>
      </c>
      <c r="L24" s="0" t="n">
        <f aca="false">IF(OR(L23=1,B23=7,C23=7),1,0)</f>
        <v>0</v>
      </c>
      <c r="M24" s="0" t="n">
        <f aca="false">IF(OR(M23=1,B23=8,C23=8),1,0)</f>
        <v>0</v>
      </c>
      <c r="N24" s="0" t="n">
        <f aca="false">IF(OR(N23=1,B23=9,C23=9),1,0)</f>
        <v>0</v>
      </c>
      <c r="O24" s="0" t="n">
        <f aca="false">IF(OR(O23=1,B23=10,C23=10),1,0)</f>
        <v>0</v>
      </c>
      <c r="P24" s="0" t="n">
        <f aca="false">IF(OR(P23=1,B23=11,C23=11),1,0)</f>
        <v>0</v>
      </c>
      <c r="Q24" s="0" t="n">
        <f aca="false">IF(OR(Q23=1,B23=12,C23=12),1,0)</f>
        <v>0</v>
      </c>
      <c r="R24" s="0" t="n">
        <f aca="false">IF(OR(R23=1,B23=13,C23=13),1,0)</f>
        <v>0</v>
      </c>
      <c r="S24" s="0" t="n">
        <f aca="false">IF(OR(S23=1,B23=14,C23=14),1,0)</f>
        <v>0</v>
      </c>
      <c r="T24" s="0" t="n">
        <f aca="false">IF(OR(T23=1,B23=15,C23=15),1,0)</f>
        <v>0</v>
      </c>
      <c r="U24" s="0" t="n">
        <f aca="false">IF(OR(U23=1,B23=16,C23=16),1,0)</f>
        <v>0</v>
      </c>
      <c r="V24" s="0" t="n">
        <f aca="false">IF(AND(F24=0,1&gt;B24,(COUNTIFS(Suizo!$C$5:$C$12,D24,Suizo!$H$5:$H$12,INDEX($G$3:$G$18,1))+COUNTIFS(Suizo!$C$5:$C$12,INDEX($G$3:$G$18,1),Suizo!$H$5:$H$12,D24))=0),1,99)</f>
        <v>99</v>
      </c>
      <c r="W24" s="0" t="n">
        <f aca="false">IF(AND(G24=0,2&gt;B24,(COUNTIFS(Suizo!$C$5:$C$12,D24,Suizo!$H$5:$H$12,INDEX($G$3:$G$18,2))+COUNTIFS(Suizo!$C$5:$C$12,INDEX($G$3:$G$18,2),Suizo!$H$5:$H$12,D24))=0),2,99)</f>
        <v>99</v>
      </c>
      <c r="X24" s="0" t="n">
        <f aca="false">IF(AND(H24=0,3&gt;B24,(COUNTIFS(Suizo!$C$5:$C$12,D24,Suizo!$H$5:$H$12,INDEX($G$3:$G$18,3))+COUNTIFS(Suizo!$C$5:$C$12,INDEX($G$3:$G$18,3),Suizo!$H$5:$H$12,D24))=0),3,99)</f>
        <v>99</v>
      </c>
      <c r="Y24" s="0" t="n">
        <f aca="false">IF(AND(I24=0,4&gt;B24,(COUNTIFS(Suizo!$C$5:$C$12,D24,Suizo!$H$5:$H$12,INDEX($G$3:$G$18,4))+COUNTIFS(Suizo!$C$5:$C$12,INDEX($G$3:$G$18,4),Suizo!$H$5:$H$12,D24))=0),4,99)</f>
        <v>99</v>
      </c>
      <c r="Z24" s="0" t="n">
        <f aca="false">IF(AND(J24=0,5&gt;B24,(COUNTIFS(Suizo!$C$5:$C$12,D24,Suizo!$H$5:$H$12,INDEX($G$3:$G$18,5))+COUNTIFS(Suizo!$C$5:$C$12,INDEX($G$3:$G$18,5),Suizo!$H$5:$H$12,D24))=0),5,99)</f>
        <v>99</v>
      </c>
      <c r="AA24" s="0" t="n">
        <f aca="false">IF(AND(K24=0,6&gt;B24,(COUNTIFS(Suizo!$C$5:$C$12,D24,Suizo!$H$5:$H$12,INDEX($G$3:$G$18,6))+COUNTIFS(Suizo!$C$5:$C$12,INDEX($G$3:$G$18,6),Suizo!$H$5:$H$12,D24))=0),6,99)</f>
        <v>99</v>
      </c>
      <c r="AB24" s="0" t="n">
        <f aca="false">IF(AND(L24=0,7&gt;B24,(COUNTIFS(Suizo!$C$5:$C$12,D24,Suizo!$H$5:$H$12,INDEX($G$3:$G$18,7))+COUNTIFS(Suizo!$C$5:$C$12,INDEX($G$3:$G$18,7),Suizo!$H$5:$H$12,D24))=0),7,99)</f>
        <v>99</v>
      </c>
      <c r="AC24" s="0" t="n">
        <f aca="false">IF(AND(M24=0,8&gt;B24,(COUNTIFS(Suizo!$C$5:$C$12,D24,Suizo!$H$5:$H$12,INDEX($G$3:$G$18,8))+COUNTIFS(Suizo!$C$5:$C$12,INDEX($G$3:$G$18,8),Suizo!$H$5:$H$12,D24))=0),8,99)</f>
        <v>8</v>
      </c>
      <c r="AD24" s="0" t="n">
        <f aca="false">IF(AND(N24=0,9&gt;B24,(COUNTIFS(Suizo!$C$5:$C$12,D24,Suizo!$H$5:$H$12,INDEX($G$3:$G$18,9))+COUNTIFS(Suizo!$C$5:$C$12,INDEX($G$3:$G$18,9),Suizo!$H$5:$H$12,D24))=0),9,99)</f>
        <v>9</v>
      </c>
      <c r="AE24" s="0" t="n">
        <f aca="false">IF(AND(O24=0,10&gt;B24,(COUNTIFS(Suizo!$C$5:$C$12,D24,Suizo!$H$5:$H$12,INDEX($G$3:$G$18,10))+COUNTIFS(Suizo!$C$5:$C$12,INDEX($G$3:$G$18,10),Suizo!$H$5:$H$12,D24))=0),10,99)</f>
        <v>10</v>
      </c>
      <c r="AF24" s="0" t="n">
        <f aca="false">IF(AND(P24=0,11&gt;B24,(COUNTIFS(Suizo!$C$5:$C$12,D24,Suizo!$H$5:$H$12,INDEX($G$3:$G$18,11))+COUNTIFS(Suizo!$C$5:$C$12,INDEX($G$3:$G$18,11),Suizo!$H$5:$H$12,D24))=0),11,99)</f>
        <v>11</v>
      </c>
      <c r="AG24" s="0" t="n">
        <f aca="false">IF(AND(Q24=0,12&gt;B24,(COUNTIFS(Suizo!$C$5:$C$12,D24,Suizo!$H$5:$H$12,INDEX($G$3:$G$18,12))+COUNTIFS(Suizo!$C$5:$C$12,INDEX($G$3:$G$18,12),Suizo!$H$5:$H$12,D24))=0),12,99)</f>
        <v>12</v>
      </c>
      <c r="AH24" s="0" t="n">
        <f aca="false">IF(AND(R24=0,13&gt;B24,(COUNTIFS(Suizo!$C$5:$C$12,D24,Suizo!$H$5:$H$12,INDEX($G$3:$G$18,13))+COUNTIFS(Suizo!$C$5:$C$12,INDEX($G$3:$G$18,13),Suizo!$H$5:$H$12,D24))=0),13,99)</f>
        <v>13</v>
      </c>
      <c r="AI24" s="0" t="n">
        <f aca="false">IF(AND(S24=0,14&gt;B24,(COUNTIFS(Suizo!$C$5:$C$12,D24,Suizo!$H$5:$H$12,INDEX($G$3:$G$18,14))+COUNTIFS(Suizo!$C$5:$C$12,INDEX($G$3:$G$18,14),Suizo!$H$5:$H$12,D24))=0),14,99)</f>
        <v>14</v>
      </c>
      <c r="AJ24" s="0" t="n">
        <f aca="false">IF(AND(T24=0,15&gt;B24,(COUNTIFS(Suizo!$C$5:$C$12,D24,Suizo!$H$5:$H$12,INDEX($G$3:$G$18,15))+COUNTIFS(Suizo!$C$5:$C$12,INDEX($G$3:$G$18,15),Suizo!$H$5:$H$12,D24))=0),15,99)</f>
        <v>15</v>
      </c>
      <c r="AK24" s="0" t="n">
        <f aca="false">IF(AND(U24=0,16&gt;B24,(COUNTIFS(Suizo!$C$5:$C$12,D24,Suizo!$H$5:$H$12,INDEX($G$3:$G$18,16))+COUNTIFS(Suizo!$C$5:$C$12,INDEX($G$3:$G$18,16),Suizo!$H$5:$H$12,D24))=0),16,99)</f>
        <v>16</v>
      </c>
      <c r="AL24" s="0" t="n">
        <f aca="false">IF(AND(F24=0,1&gt;B24),1,99)</f>
        <v>99</v>
      </c>
      <c r="AM24" s="0" t="n">
        <f aca="false">IF(AND(G24=0,2&gt;B24),2,99)</f>
        <v>99</v>
      </c>
      <c r="AN24" s="0" t="n">
        <f aca="false">IF(AND(H24=0,3&gt;B24),3,99)</f>
        <v>99</v>
      </c>
      <c r="AO24" s="0" t="n">
        <f aca="false">IF(AND(I24=0,4&gt;B24),4,99)</f>
        <v>99</v>
      </c>
      <c r="AP24" s="0" t="n">
        <f aca="false">IF(AND(J24=0,5&gt;B24),5,99)</f>
        <v>99</v>
      </c>
      <c r="AQ24" s="0" t="n">
        <f aca="false">IF(AND(K24=0,6&gt;B24),6,99)</f>
        <v>99</v>
      </c>
      <c r="AR24" s="0" t="n">
        <f aca="false">IF(AND(L24=0,7&gt;B24),7,99)</f>
        <v>99</v>
      </c>
      <c r="AS24" s="0" t="n">
        <f aca="false">IF(AND(M24=0,8&gt;B24),8,99)</f>
        <v>8</v>
      </c>
      <c r="AT24" s="0" t="n">
        <f aca="false">IF(AND(N24=0,9&gt;B24),9,99)</f>
        <v>9</v>
      </c>
      <c r="AU24" s="0" t="n">
        <f aca="false">IF(AND(O24=0,10&gt;B24),10,99)</f>
        <v>10</v>
      </c>
      <c r="AV24" s="0" t="n">
        <f aca="false">IF(AND(P24=0,11&gt;B24),11,99)</f>
        <v>11</v>
      </c>
      <c r="AW24" s="0" t="n">
        <f aca="false">IF(AND(Q24=0,12&gt;B24),12,99)</f>
        <v>12</v>
      </c>
      <c r="AX24" s="0" t="n">
        <f aca="false">IF(AND(R24=0,13&gt;B24),13,99)</f>
        <v>13</v>
      </c>
      <c r="AY24" s="0" t="n">
        <f aca="false">IF(AND(S24=0,14&gt;B24),14,99)</f>
        <v>14</v>
      </c>
      <c r="AZ24" s="0" t="n">
        <f aca="false">IF(AND(T24=0,15&gt;B24),15,99)</f>
        <v>15</v>
      </c>
      <c r="BA24" s="0" t="n">
        <f aca="false">IF(AND(U24=0,16&gt;B24),16,99)</f>
        <v>16</v>
      </c>
      <c r="BB24" s="0" t="str">
        <f aca="false">IF(MIN(V24:AK24)=99,"REVANCHA","")</f>
        <v/>
      </c>
    </row>
    <row r="25" customFormat="false" ht="15" hidden="false" customHeight="false" outlineLevel="0" collapsed="false">
      <c r="A25" s="0" t="n">
        <v>5</v>
      </c>
      <c r="B25" s="0" t="n">
        <f aca="false">MATCH(0,F25:U25,0)</f>
        <v>9</v>
      </c>
      <c r="C25" s="0" t="n">
        <f aca="false">IF(MIN(V25:AK25)&lt;99,MIN(V25:AK25),MIN(AL25:BA25))</f>
        <v>11</v>
      </c>
      <c r="D25" s="0" t="n">
        <f aca="false">INDEX($G$3:$G$18,B25)</f>
        <v>9</v>
      </c>
      <c r="E25" s="0" t="n">
        <f aca="false">INDEX($G$3:$G$18,C25)</f>
        <v>11</v>
      </c>
      <c r="F25" s="0" t="n">
        <f aca="false">IF(OR(F24=1,B24=1,C24=1),1,0)</f>
        <v>1</v>
      </c>
      <c r="G25" s="0" t="n">
        <f aca="false">IF(OR(G24=1,B24=2,C24=2),1,0)</f>
        <v>1</v>
      </c>
      <c r="H25" s="0" t="n">
        <f aca="false">IF(OR(H24=1,B24=3,C24=3),1,0)</f>
        <v>1</v>
      </c>
      <c r="I25" s="0" t="n">
        <f aca="false">IF(OR(I24=1,B24=4,C24=4),1,0)</f>
        <v>1</v>
      </c>
      <c r="J25" s="0" t="n">
        <f aca="false">IF(OR(J24=1,B24=5,C24=5),1,0)</f>
        <v>1</v>
      </c>
      <c r="K25" s="0" t="n">
        <f aca="false">IF(OR(K24=1,B24=6,C24=6),1,0)</f>
        <v>1</v>
      </c>
      <c r="L25" s="0" t="n">
        <f aca="false">IF(OR(L24=1,B24=7,C24=7),1,0)</f>
        <v>1</v>
      </c>
      <c r="M25" s="0" t="n">
        <f aca="false">IF(OR(M24=1,B24=8,C24=8),1,0)</f>
        <v>1</v>
      </c>
      <c r="N25" s="0" t="n">
        <f aca="false">IF(OR(N24=1,B24=9,C24=9),1,0)</f>
        <v>0</v>
      </c>
      <c r="O25" s="0" t="n">
        <f aca="false">IF(OR(O24=1,B24=10,C24=10),1,0)</f>
        <v>0</v>
      </c>
      <c r="P25" s="0" t="n">
        <f aca="false">IF(OR(P24=1,B24=11,C24=11),1,0)</f>
        <v>0</v>
      </c>
      <c r="Q25" s="0" t="n">
        <f aca="false">IF(OR(Q24=1,B24=12,C24=12),1,0)</f>
        <v>0</v>
      </c>
      <c r="R25" s="0" t="n">
        <f aca="false">IF(OR(R24=1,B24=13,C24=13),1,0)</f>
        <v>0</v>
      </c>
      <c r="S25" s="0" t="n">
        <f aca="false">IF(OR(S24=1,B24=14,C24=14),1,0)</f>
        <v>0</v>
      </c>
      <c r="T25" s="0" t="n">
        <f aca="false">IF(OR(T24=1,B24=15,C24=15),1,0)</f>
        <v>0</v>
      </c>
      <c r="U25" s="0" t="n">
        <f aca="false">IF(OR(U24=1,B24=16,C24=16),1,0)</f>
        <v>0</v>
      </c>
      <c r="V25" s="0" t="n">
        <f aca="false">IF(AND(F25=0,1&gt;B25,(COUNTIFS(Suizo!$C$5:$C$12,D25,Suizo!$H$5:$H$12,INDEX($G$3:$G$18,1))+COUNTIFS(Suizo!$C$5:$C$12,INDEX($G$3:$G$18,1),Suizo!$H$5:$H$12,D25))=0),1,99)</f>
        <v>99</v>
      </c>
      <c r="W25" s="0" t="n">
        <f aca="false">IF(AND(G25=0,2&gt;B25,(COUNTIFS(Suizo!$C$5:$C$12,D25,Suizo!$H$5:$H$12,INDEX($G$3:$G$18,2))+COUNTIFS(Suizo!$C$5:$C$12,INDEX($G$3:$G$18,2),Suizo!$H$5:$H$12,D25))=0),2,99)</f>
        <v>99</v>
      </c>
      <c r="X25" s="0" t="n">
        <f aca="false">IF(AND(H25=0,3&gt;B25,(COUNTIFS(Suizo!$C$5:$C$12,D25,Suizo!$H$5:$H$12,INDEX($G$3:$G$18,3))+COUNTIFS(Suizo!$C$5:$C$12,INDEX($G$3:$G$18,3),Suizo!$H$5:$H$12,D25))=0),3,99)</f>
        <v>99</v>
      </c>
      <c r="Y25" s="0" t="n">
        <f aca="false">IF(AND(I25=0,4&gt;B25,(COUNTIFS(Suizo!$C$5:$C$12,D25,Suizo!$H$5:$H$12,INDEX($G$3:$G$18,4))+COUNTIFS(Suizo!$C$5:$C$12,INDEX($G$3:$G$18,4),Suizo!$H$5:$H$12,D25))=0),4,99)</f>
        <v>99</v>
      </c>
      <c r="Z25" s="0" t="n">
        <f aca="false">IF(AND(J25=0,5&gt;B25,(COUNTIFS(Suizo!$C$5:$C$12,D25,Suizo!$H$5:$H$12,INDEX($G$3:$G$18,5))+COUNTIFS(Suizo!$C$5:$C$12,INDEX($G$3:$G$18,5),Suizo!$H$5:$H$12,D25))=0),5,99)</f>
        <v>99</v>
      </c>
      <c r="AA25" s="0" t="n">
        <f aca="false">IF(AND(K25=0,6&gt;B25,(COUNTIFS(Suizo!$C$5:$C$12,D25,Suizo!$H$5:$H$12,INDEX($G$3:$G$18,6))+COUNTIFS(Suizo!$C$5:$C$12,INDEX($G$3:$G$18,6),Suizo!$H$5:$H$12,D25))=0),6,99)</f>
        <v>99</v>
      </c>
      <c r="AB25" s="0" t="n">
        <f aca="false">IF(AND(L25=0,7&gt;B25,(COUNTIFS(Suizo!$C$5:$C$12,D25,Suizo!$H$5:$H$12,INDEX($G$3:$G$18,7))+COUNTIFS(Suizo!$C$5:$C$12,INDEX($G$3:$G$18,7),Suizo!$H$5:$H$12,D25))=0),7,99)</f>
        <v>99</v>
      </c>
      <c r="AC25" s="0" t="n">
        <f aca="false">IF(AND(M25=0,8&gt;B25,(COUNTIFS(Suizo!$C$5:$C$12,D25,Suizo!$H$5:$H$12,INDEX($G$3:$G$18,8))+COUNTIFS(Suizo!$C$5:$C$12,INDEX($G$3:$G$18,8),Suizo!$H$5:$H$12,D25))=0),8,99)</f>
        <v>99</v>
      </c>
      <c r="AD25" s="0" t="n">
        <f aca="false">IF(AND(N25=0,9&gt;B25,(COUNTIFS(Suizo!$C$5:$C$12,D25,Suizo!$H$5:$H$12,INDEX($G$3:$G$18,9))+COUNTIFS(Suizo!$C$5:$C$12,INDEX($G$3:$G$18,9),Suizo!$H$5:$H$12,D25))=0),9,99)</f>
        <v>99</v>
      </c>
      <c r="AE25" s="0" t="n">
        <f aca="false">IF(AND(O25=0,10&gt;B25,(COUNTIFS(Suizo!$C$5:$C$12,D25,Suizo!$H$5:$H$12,INDEX($G$3:$G$18,10))+COUNTIFS(Suizo!$C$5:$C$12,INDEX($G$3:$G$18,10),Suizo!$H$5:$H$12,D25))=0),10,99)</f>
        <v>99</v>
      </c>
      <c r="AF25" s="0" t="n">
        <f aca="false">IF(AND(P25=0,11&gt;B25,(COUNTIFS(Suizo!$C$5:$C$12,D25,Suizo!$H$5:$H$12,INDEX($G$3:$G$18,11))+COUNTIFS(Suizo!$C$5:$C$12,INDEX($G$3:$G$18,11),Suizo!$H$5:$H$12,D25))=0),11,99)</f>
        <v>11</v>
      </c>
      <c r="AG25" s="0" t="n">
        <f aca="false">IF(AND(Q25=0,12&gt;B25,(COUNTIFS(Suizo!$C$5:$C$12,D25,Suizo!$H$5:$H$12,INDEX($G$3:$G$18,12))+COUNTIFS(Suizo!$C$5:$C$12,INDEX($G$3:$G$18,12),Suizo!$H$5:$H$12,D25))=0),12,99)</f>
        <v>12</v>
      </c>
      <c r="AH25" s="0" t="n">
        <f aca="false">IF(AND(R25=0,13&gt;B25,(COUNTIFS(Suizo!$C$5:$C$12,D25,Suizo!$H$5:$H$12,INDEX($G$3:$G$18,13))+COUNTIFS(Suizo!$C$5:$C$12,INDEX($G$3:$G$18,13),Suizo!$H$5:$H$12,D25))=0),13,99)</f>
        <v>13</v>
      </c>
      <c r="AI25" s="0" t="n">
        <f aca="false">IF(AND(S25=0,14&gt;B25,(COUNTIFS(Suizo!$C$5:$C$12,D25,Suizo!$H$5:$H$12,INDEX($G$3:$G$18,14))+COUNTIFS(Suizo!$C$5:$C$12,INDEX($G$3:$G$18,14),Suizo!$H$5:$H$12,D25))=0),14,99)</f>
        <v>14</v>
      </c>
      <c r="AJ25" s="0" t="n">
        <f aca="false">IF(AND(T25=0,15&gt;B25,(COUNTIFS(Suizo!$C$5:$C$12,D25,Suizo!$H$5:$H$12,INDEX($G$3:$G$18,15))+COUNTIFS(Suizo!$C$5:$C$12,INDEX($G$3:$G$18,15),Suizo!$H$5:$H$12,D25))=0),15,99)</f>
        <v>15</v>
      </c>
      <c r="AK25" s="0" t="n">
        <f aca="false">IF(AND(U25=0,16&gt;B25,(COUNTIFS(Suizo!$C$5:$C$12,D25,Suizo!$H$5:$H$12,INDEX($G$3:$G$18,16))+COUNTIFS(Suizo!$C$5:$C$12,INDEX($G$3:$G$18,16),Suizo!$H$5:$H$12,D25))=0),16,99)</f>
        <v>16</v>
      </c>
      <c r="AL25" s="0" t="n">
        <f aca="false">IF(AND(F25=0,1&gt;B25),1,99)</f>
        <v>99</v>
      </c>
      <c r="AM25" s="0" t="n">
        <f aca="false">IF(AND(G25=0,2&gt;B25),2,99)</f>
        <v>99</v>
      </c>
      <c r="AN25" s="0" t="n">
        <f aca="false">IF(AND(H25=0,3&gt;B25),3,99)</f>
        <v>99</v>
      </c>
      <c r="AO25" s="0" t="n">
        <f aca="false">IF(AND(I25=0,4&gt;B25),4,99)</f>
        <v>99</v>
      </c>
      <c r="AP25" s="0" t="n">
        <f aca="false">IF(AND(J25=0,5&gt;B25),5,99)</f>
        <v>99</v>
      </c>
      <c r="AQ25" s="0" t="n">
        <f aca="false">IF(AND(K25=0,6&gt;B25),6,99)</f>
        <v>99</v>
      </c>
      <c r="AR25" s="0" t="n">
        <f aca="false">IF(AND(L25=0,7&gt;B25),7,99)</f>
        <v>99</v>
      </c>
      <c r="AS25" s="0" t="n">
        <f aca="false">IF(AND(M25=0,8&gt;B25),8,99)</f>
        <v>99</v>
      </c>
      <c r="AT25" s="0" t="n">
        <f aca="false">IF(AND(N25=0,9&gt;B25),9,99)</f>
        <v>99</v>
      </c>
      <c r="AU25" s="0" t="n">
        <f aca="false">IF(AND(O25=0,10&gt;B25),10,99)</f>
        <v>10</v>
      </c>
      <c r="AV25" s="0" t="n">
        <f aca="false">IF(AND(P25=0,11&gt;B25),11,99)</f>
        <v>11</v>
      </c>
      <c r="AW25" s="0" t="n">
        <f aca="false">IF(AND(Q25=0,12&gt;B25),12,99)</f>
        <v>12</v>
      </c>
      <c r="AX25" s="0" t="n">
        <f aca="false">IF(AND(R25=0,13&gt;B25),13,99)</f>
        <v>13</v>
      </c>
      <c r="AY25" s="0" t="n">
        <f aca="false">IF(AND(S25=0,14&gt;B25),14,99)</f>
        <v>14</v>
      </c>
      <c r="AZ25" s="0" t="n">
        <f aca="false">IF(AND(T25=0,15&gt;B25),15,99)</f>
        <v>15</v>
      </c>
      <c r="BA25" s="0" t="n">
        <f aca="false">IF(AND(U25=0,16&gt;B25),16,99)</f>
        <v>16</v>
      </c>
      <c r="BB25" s="0" t="str">
        <f aca="false">IF(MIN(V25:AK25)=99,"REVANCHA","")</f>
        <v/>
      </c>
    </row>
    <row r="26" customFormat="false" ht="15" hidden="false" customHeight="false" outlineLevel="0" collapsed="false">
      <c r="A26" s="0" t="n">
        <v>6</v>
      </c>
      <c r="B26" s="0" t="n">
        <f aca="false">MATCH(0,F26:U26,0)</f>
        <v>10</v>
      </c>
      <c r="C26" s="0" t="n">
        <f aca="false">IF(MIN(V26:AK26)&lt;99,MIN(V26:AK26),MIN(AL26:BA26))</f>
        <v>12</v>
      </c>
      <c r="D26" s="0" t="n">
        <f aca="false">INDEX($G$3:$G$18,B26)</f>
        <v>10</v>
      </c>
      <c r="E26" s="0" t="n">
        <f aca="false">INDEX($G$3:$G$18,C26)</f>
        <v>12</v>
      </c>
      <c r="F26" s="0" t="n">
        <f aca="false">IF(OR(F25=1,B25=1,C25=1),1,0)</f>
        <v>1</v>
      </c>
      <c r="G26" s="0" t="n">
        <f aca="false">IF(OR(G25=1,B25=2,C25=2),1,0)</f>
        <v>1</v>
      </c>
      <c r="H26" s="0" t="n">
        <f aca="false">IF(OR(H25=1,B25=3,C25=3),1,0)</f>
        <v>1</v>
      </c>
      <c r="I26" s="0" t="n">
        <f aca="false">IF(OR(I25=1,B25=4,C25=4),1,0)</f>
        <v>1</v>
      </c>
      <c r="J26" s="0" t="n">
        <f aca="false">IF(OR(J25=1,B25=5,C25=5),1,0)</f>
        <v>1</v>
      </c>
      <c r="K26" s="0" t="n">
        <f aca="false">IF(OR(K25=1,B25=6,C25=6),1,0)</f>
        <v>1</v>
      </c>
      <c r="L26" s="0" t="n">
        <f aca="false">IF(OR(L25=1,B25=7,C25=7),1,0)</f>
        <v>1</v>
      </c>
      <c r="M26" s="0" t="n">
        <f aca="false">IF(OR(M25=1,B25=8,C25=8),1,0)</f>
        <v>1</v>
      </c>
      <c r="N26" s="0" t="n">
        <f aca="false">IF(OR(N25=1,B25=9,C25=9),1,0)</f>
        <v>1</v>
      </c>
      <c r="O26" s="0" t="n">
        <f aca="false">IF(OR(O25=1,B25=10,C25=10),1,0)</f>
        <v>0</v>
      </c>
      <c r="P26" s="0" t="n">
        <f aca="false">IF(OR(P25=1,B25=11,C25=11),1,0)</f>
        <v>1</v>
      </c>
      <c r="Q26" s="0" t="n">
        <f aca="false">IF(OR(Q25=1,B25=12,C25=12),1,0)</f>
        <v>0</v>
      </c>
      <c r="R26" s="0" t="n">
        <f aca="false">IF(OR(R25=1,B25=13,C25=13),1,0)</f>
        <v>0</v>
      </c>
      <c r="S26" s="0" t="n">
        <f aca="false">IF(OR(S25=1,B25=14,C25=14),1,0)</f>
        <v>0</v>
      </c>
      <c r="T26" s="0" t="n">
        <f aca="false">IF(OR(T25=1,B25=15,C25=15),1,0)</f>
        <v>0</v>
      </c>
      <c r="U26" s="0" t="n">
        <f aca="false">IF(OR(U25=1,B25=16,C25=16),1,0)</f>
        <v>0</v>
      </c>
      <c r="V26" s="0" t="n">
        <f aca="false">IF(AND(F26=0,1&gt;B26,(COUNTIFS(Suizo!$C$5:$C$12,D26,Suizo!$H$5:$H$12,INDEX($G$3:$G$18,1))+COUNTIFS(Suizo!$C$5:$C$12,INDEX($G$3:$G$18,1),Suizo!$H$5:$H$12,D26))=0),1,99)</f>
        <v>99</v>
      </c>
      <c r="W26" s="0" t="n">
        <f aca="false">IF(AND(G26=0,2&gt;B26,(COUNTIFS(Suizo!$C$5:$C$12,D26,Suizo!$H$5:$H$12,INDEX($G$3:$G$18,2))+COUNTIFS(Suizo!$C$5:$C$12,INDEX($G$3:$G$18,2),Suizo!$H$5:$H$12,D26))=0),2,99)</f>
        <v>99</v>
      </c>
      <c r="X26" s="0" t="n">
        <f aca="false">IF(AND(H26=0,3&gt;B26,(COUNTIFS(Suizo!$C$5:$C$12,D26,Suizo!$H$5:$H$12,INDEX($G$3:$G$18,3))+COUNTIFS(Suizo!$C$5:$C$12,INDEX($G$3:$G$18,3),Suizo!$H$5:$H$12,D26))=0),3,99)</f>
        <v>99</v>
      </c>
      <c r="Y26" s="0" t="n">
        <f aca="false">IF(AND(I26=0,4&gt;B26,(COUNTIFS(Suizo!$C$5:$C$12,D26,Suizo!$H$5:$H$12,INDEX($G$3:$G$18,4))+COUNTIFS(Suizo!$C$5:$C$12,INDEX($G$3:$G$18,4),Suizo!$H$5:$H$12,D26))=0),4,99)</f>
        <v>99</v>
      </c>
      <c r="Z26" s="0" t="n">
        <f aca="false">IF(AND(J26=0,5&gt;B26,(COUNTIFS(Suizo!$C$5:$C$12,D26,Suizo!$H$5:$H$12,INDEX($G$3:$G$18,5))+COUNTIFS(Suizo!$C$5:$C$12,INDEX($G$3:$G$18,5),Suizo!$H$5:$H$12,D26))=0),5,99)</f>
        <v>99</v>
      </c>
      <c r="AA26" s="0" t="n">
        <f aca="false">IF(AND(K26=0,6&gt;B26,(COUNTIFS(Suizo!$C$5:$C$12,D26,Suizo!$H$5:$H$12,INDEX($G$3:$G$18,6))+COUNTIFS(Suizo!$C$5:$C$12,INDEX($G$3:$G$18,6),Suizo!$H$5:$H$12,D26))=0),6,99)</f>
        <v>99</v>
      </c>
      <c r="AB26" s="0" t="n">
        <f aca="false">IF(AND(L26=0,7&gt;B26,(COUNTIFS(Suizo!$C$5:$C$12,D26,Suizo!$H$5:$H$12,INDEX($G$3:$G$18,7))+COUNTIFS(Suizo!$C$5:$C$12,INDEX($G$3:$G$18,7),Suizo!$H$5:$H$12,D26))=0),7,99)</f>
        <v>99</v>
      </c>
      <c r="AC26" s="0" t="n">
        <f aca="false">IF(AND(M26=0,8&gt;B26,(COUNTIFS(Suizo!$C$5:$C$12,D26,Suizo!$H$5:$H$12,INDEX($G$3:$G$18,8))+COUNTIFS(Suizo!$C$5:$C$12,INDEX($G$3:$G$18,8),Suizo!$H$5:$H$12,D26))=0),8,99)</f>
        <v>99</v>
      </c>
      <c r="AD26" s="0" t="n">
        <f aca="false">IF(AND(N26=0,9&gt;B26,(COUNTIFS(Suizo!$C$5:$C$12,D26,Suizo!$H$5:$H$12,INDEX($G$3:$G$18,9))+COUNTIFS(Suizo!$C$5:$C$12,INDEX($G$3:$G$18,9),Suizo!$H$5:$H$12,D26))=0),9,99)</f>
        <v>99</v>
      </c>
      <c r="AE26" s="0" t="n">
        <f aca="false">IF(AND(O26=0,10&gt;B26,(COUNTIFS(Suizo!$C$5:$C$12,D26,Suizo!$H$5:$H$12,INDEX($G$3:$G$18,10))+COUNTIFS(Suizo!$C$5:$C$12,INDEX($G$3:$G$18,10),Suizo!$H$5:$H$12,D26))=0),10,99)</f>
        <v>99</v>
      </c>
      <c r="AF26" s="0" t="n">
        <f aca="false">IF(AND(P26=0,11&gt;B26,(COUNTIFS(Suizo!$C$5:$C$12,D26,Suizo!$H$5:$H$12,INDEX($G$3:$G$18,11))+COUNTIFS(Suizo!$C$5:$C$12,INDEX($G$3:$G$18,11),Suizo!$H$5:$H$12,D26))=0),11,99)</f>
        <v>99</v>
      </c>
      <c r="AG26" s="0" t="n">
        <f aca="false">IF(AND(Q26=0,12&gt;B26,(COUNTIFS(Suizo!$C$5:$C$12,D26,Suizo!$H$5:$H$12,INDEX($G$3:$G$18,12))+COUNTIFS(Suizo!$C$5:$C$12,INDEX($G$3:$G$18,12),Suizo!$H$5:$H$12,D26))=0),12,99)</f>
        <v>12</v>
      </c>
      <c r="AH26" s="0" t="n">
        <f aca="false">IF(AND(R26=0,13&gt;B26,(COUNTIFS(Suizo!$C$5:$C$12,D26,Suizo!$H$5:$H$12,INDEX($G$3:$G$18,13))+COUNTIFS(Suizo!$C$5:$C$12,INDEX($G$3:$G$18,13),Suizo!$H$5:$H$12,D26))=0),13,99)</f>
        <v>13</v>
      </c>
      <c r="AI26" s="0" t="n">
        <f aca="false">IF(AND(S26=0,14&gt;B26,(COUNTIFS(Suizo!$C$5:$C$12,D26,Suizo!$H$5:$H$12,INDEX($G$3:$G$18,14))+COUNTIFS(Suizo!$C$5:$C$12,INDEX($G$3:$G$18,14),Suizo!$H$5:$H$12,D26))=0),14,99)</f>
        <v>14</v>
      </c>
      <c r="AJ26" s="0" t="n">
        <f aca="false">IF(AND(T26=0,15&gt;B26,(COUNTIFS(Suizo!$C$5:$C$12,D26,Suizo!$H$5:$H$12,INDEX($G$3:$G$18,15))+COUNTIFS(Suizo!$C$5:$C$12,INDEX($G$3:$G$18,15),Suizo!$H$5:$H$12,D26))=0),15,99)</f>
        <v>15</v>
      </c>
      <c r="AK26" s="0" t="n">
        <f aca="false">IF(AND(U26=0,16&gt;B26,(COUNTIFS(Suizo!$C$5:$C$12,D26,Suizo!$H$5:$H$12,INDEX($G$3:$G$18,16))+COUNTIFS(Suizo!$C$5:$C$12,INDEX($G$3:$G$18,16),Suizo!$H$5:$H$12,D26))=0),16,99)</f>
        <v>16</v>
      </c>
      <c r="AL26" s="0" t="n">
        <f aca="false">IF(AND(F26=0,1&gt;B26),1,99)</f>
        <v>99</v>
      </c>
      <c r="AM26" s="0" t="n">
        <f aca="false">IF(AND(G26=0,2&gt;B26),2,99)</f>
        <v>99</v>
      </c>
      <c r="AN26" s="0" t="n">
        <f aca="false">IF(AND(H26=0,3&gt;B26),3,99)</f>
        <v>99</v>
      </c>
      <c r="AO26" s="0" t="n">
        <f aca="false">IF(AND(I26=0,4&gt;B26),4,99)</f>
        <v>99</v>
      </c>
      <c r="AP26" s="0" t="n">
        <f aca="false">IF(AND(J26=0,5&gt;B26),5,99)</f>
        <v>99</v>
      </c>
      <c r="AQ26" s="0" t="n">
        <f aca="false">IF(AND(K26=0,6&gt;B26),6,99)</f>
        <v>99</v>
      </c>
      <c r="AR26" s="0" t="n">
        <f aca="false">IF(AND(L26=0,7&gt;B26),7,99)</f>
        <v>99</v>
      </c>
      <c r="AS26" s="0" t="n">
        <f aca="false">IF(AND(M26=0,8&gt;B26),8,99)</f>
        <v>99</v>
      </c>
      <c r="AT26" s="0" t="n">
        <f aca="false">IF(AND(N26=0,9&gt;B26),9,99)</f>
        <v>99</v>
      </c>
      <c r="AU26" s="0" t="n">
        <f aca="false">IF(AND(O26=0,10&gt;B26),10,99)</f>
        <v>99</v>
      </c>
      <c r="AV26" s="0" t="n">
        <f aca="false">IF(AND(P26=0,11&gt;B26),11,99)</f>
        <v>99</v>
      </c>
      <c r="AW26" s="0" t="n">
        <f aca="false">IF(AND(Q26=0,12&gt;B26),12,99)</f>
        <v>12</v>
      </c>
      <c r="AX26" s="0" t="n">
        <f aca="false">IF(AND(R26=0,13&gt;B26),13,99)</f>
        <v>13</v>
      </c>
      <c r="AY26" s="0" t="n">
        <f aca="false">IF(AND(S26=0,14&gt;B26),14,99)</f>
        <v>14</v>
      </c>
      <c r="AZ26" s="0" t="n">
        <f aca="false">IF(AND(T26=0,15&gt;B26),15,99)</f>
        <v>15</v>
      </c>
      <c r="BA26" s="0" t="n">
        <f aca="false">IF(AND(U26=0,16&gt;B26),16,99)</f>
        <v>16</v>
      </c>
      <c r="BB26" s="0" t="str">
        <f aca="false">IF(MIN(V26:AK26)=99,"REVANCHA","")</f>
        <v/>
      </c>
    </row>
    <row r="27" customFormat="false" ht="15" hidden="false" customHeight="false" outlineLevel="0" collapsed="false">
      <c r="A27" s="0" t="n">
        <v>7</v>
      </c>
      <c r="B27" s="0" t="n">
        <f aca="false">MATCH(0,F27:U27,0)</f>
        <v>13</v>
      </c>
      <c r="C27" s="0" t="n">
        <f aca="false">IF(MIN(V27:AK27)&lt;99,MIN(V27:AK27),MIN(AL27:BA27))</f>
        <v>15</v>
      </c>
      <c r="D27" s="0" t="n">
        <f aca="false">INDEX($G$3:$G$18,B27)</f>
        <v>13</v>
      </c>
      <c r="E27" s="0" t="n">
        <f aca="false">INDEX($G$3:$G$18,C27)</f>
        <v>15</v>
      </c>
      <c r="F27" s="0" t="n">
        <f aca="false">IF(OR(F26=1,B26=1,C26=1),1,0)</f>
        <v>1</v>
      </c>
      <c r="G27" s="0" t="n">
        <f aca="false">IF(OR(G26=1,B26=2,C26=2),1,0)</f>
        <v>1</v>
      </c>
      <c r="H27" s="0" t="n">
        <f aca="false">IF(OR(H26=1,B26=3,C26=3),1,0)</f>
        <v>1</v>
      </c>
      <c r="I27" s="0" t="n">
        <f aca="false">IF(OR(I26=1,B26=4,C26=4),1,0)</f>
        <v>1</v>
      </c>
      <c r="J27" s="0" t="n">
        <f aca="false">IF(OR(J26=1,B26=5,C26=5),1,0)</f>
        <v>1</v>
      </c>
      <c r="K27" s="0" t="n">
        <f aca="false">IF(OR(K26=1,B26=6,C26=6),1,0)</f>
        <v>1</v>
      </c>
      <c r="L27" s="0" t="n">
        <f aca="false">IF(OR(L26=1,B26=7,C26=7),1,0)</f>
        <v>1</v>
      </c>
      <c r="M27" s="0" t="n">
        <f aca="false">IF(OR(M26=1,B26=8,C26=8),1,0)</f>
        <v>1</v>
      </c>
      <c r="N27" s="0" t="n">
        <f aca="false">IF(OR(N26=1,B26=9,C26=9),1,0)</f>
        <v>1</v>
      </c>
      <c r="O27" s="0" t="n">
        <f aca="false">IF(OR(O26=1,B26=10,C26=10),1,0)</f>
        <v>1</v>
      </c>
      <c r="P27" s="0" t="n">
        <f aca="false">IF(OR(P26=1,B26=11,C26=11),1,0)</f>
        <v>1</v>
      </c>
      <c r="Q27" s="0" t="n">
        <f aca="false">IF(OR(Q26=1,B26=12,C26=12),1,0)</f>
        <v>1</v>
      </c>
      <c r="R27" s="0" t="n">
        <f aca="false">IF(OR(R26=1,B26=13,C26=13),1,0)</f>
        <v>0</v>
      </c>
      <c r="S27" s="0" t="n">
        <f aca="false">IF(OR(S26=1,B26=14,C26=14),1,0)</f>
        <v>0</v>
      </c>
      <c r="T27" s="0" t="n">
        <f aca="false">IF(OR(T26=1,B26=15,C26=15),1,0)</f>
        <v>0</v>
      </c>
      <c r="U27" s="0" t="n">
        <f aca="false">IF(OR(U26=1,B26=16,C26=16),1,0)</f>
        <v>0</v>
      </c>
      <c r="V27" s="0" t="n">
        <f aca="false">IF(AND(F27=0,1&gt;B27,(COUNTIFS(Suizo!$C$5:$C$12,D27,Suizo!$H$5:$H$12,INDEX($G$3:$G$18,1))+COUNTIFS(Suizo!$C$5:$C$12,INDEX($G$3:$G$18,1),Suizo!$H$5:$H$12,D27))=0),1,99)</f>
        <v>99</v>
      </c>
      <c r="W27" s="0" t="n">
        <f aca="false">IF(AND(G27=0,2&gt;B27,(COUNTIFS(Suizo!$C$5:$C$12,D27,Suizo!$H$5:$H$12,INDEX($G$3:$G$18,2))+COUNTIFS(Suizo!$C$5:$C$12,INDEX($G$3:$G$18,2),Suizo!$H$5:$H$12,D27))=0),2,99)</f>
        <v>99</v>
      </c>
      <c r="X27" s="0" t="n">
        <f aca="false">IF(AND(H27=0,3&gt;B27,(COUNTIFS(Suizo!$C$5:$C$12,D27,Suizo!$H$5:$H$12,INDEX($G$3:$G$18,3))+COUNTIFS(Suizo!$C$5:$C$12,INDEX($G$3:$G$18,3),Suizo!$H$5:$H$12,D27))=0),3,99)</f>
        <v>99</v>
      </c>
      <c r="Y27" s="0" t="n">
        <f aca="false">IF(AND(I27=0,4&gt;B27,(COUNTIFS(Suizo!$C$5:$C$12,D27,Suizo!$H$5:$H$12,INDEX($G$3:$G$18,4))+COUNTIFS(Suizo!$C$5:$C$12,INDEX($G$3:$G$18,4),Suizo!$H$5:$H$12,D27))=0),4,99)</f>
        <v>99</v>
      </c>
      <c r="Z27" s="0" t="n">
        <f aca="false">IF(AND(J27=0,5&gt;B27,(COUNTIFS(Suizo!$C$5:$C$12,D27,Suizo!$H$5:$H$12,INDEX($G$3:$G$18,5))+COUNTIFS(Suizo!$C$5:$C$12,INDEX($G$3:$G$18,5),Suizo!$H$5:$H$12,D27))=0),5,99)</f>
        <v>99</v>
      </c>
      <c r="AA27" s="0" t="n">
        <f aca="false">IF(AND(K27=0,6&gt;B27,(COUNTIFS(Suizo!$C$5:$C$12,D27,Suizo!$H$5:$H$12,INDEX($G$3:$G$18,6))+COUNTIFS(Suizo!$C$5:$C$12,INDEX($G$3:$G$18,6),Suizo!$H$5:$H$12,D27))=0),6,99)</f>
        <v>99</v>
      </c>
      <c r="AB27" s="0" t="n">
        <f aca="false">IF(AND(L27=0,7&gt;B27,(COUNTIFS(Suizo!$C$5:$C$12,D27,Suizo!$H$5:$H$12,INDEX($G$3:$G$18,7))+COUNTIFS(Suizo!$C$5:$C$12,INDEX($G$3:$G$18,7),Suizo!$H$5:$H$12,D27))=0),7,99)</f>
        <v>99</v>
      </c>
      <c r="AC27" s="0" t="n">
        <f aca="false">IF(AND(M27=0,8&gt;B27,(COUNTIFS(Suizo!$C$5:$C$12,D27,Suizo!$H$5:$H$12,INDEX($G$3:$G$18,8))+COUNTIFS(Suizo!$C$5:$C$12,INDEX($G$3:$G$18,8),Suizo!$H$5:$H$12,D27))=0),8,99)</f>
        <v>99</v>
      </c>
      <c r="AD27" s="0" t="n">
        <f aca="false">IF(AND(N27=0,9&gt;B27,(COUNTIFS(Suizo!$C$5:$C$12,D27,Suizo!$H$5:$H$12,INDEX($G$3:$G$18,9))+COUNTIFS(Suizo!$C$5:$C$12,INDEX($G$3:$G$18,9),Suizo!$H$5:$H$12,D27))=0),9,99)</f>
        <v>99</v>
      </c>
      <c r="AE27" s="0" t="n">
        <f aca="false">IF(AND(O27=0,10&gt;B27,(COUNTIFS(Suizo!$C$5:$C$12,D27,Suizo!$H$5:$H$12,INDEX($G$3:$G$18,10))+COUNTIFS(Suizo!$C$5:$C$12,INDEX($G$3:$G$18,10),Suizo!$H$5:$H$12,D27))=0),10,99)</f>
        <v>99</v>
      </c>
      <c r="AF27" s="0" t="n">
        <f aca="false">IF(AND(P27=0,11&gt;B27,(COUNTIFS(Suizo!$C$5:$C$12,D27,Suizo!$H$5:$H$12,INDEX($G$3:$G$18,11))+COUNTIFS(Suizo!$C$5:$C$12,INDEX($G$3:$G$18,11),Suizo!$H$5:$H$12,D27))=0),11,99)</f>
        <v>99</v>
      </c>
      <c r="AG27" s="0" t="n">
        <f aca="false">IF(AND(Q27=0,12&gt;B27,(COUNTIFS(Suizo!$C$5:$C$12,D27,Suizo!$H$5:$H$12,INDEX($G$3:$G$18,12))+COUNTIFS(Suizo!$C$5:$C$12,INDEX($G$3:$G$18,12),Suizo!$H$5:$H$12,D27))=0),12,99)</f>
        <v>99</v>
      </c>
      <c r="AH27" s="0" t="n">
        <f aca="false">IF(AND(R27=0,13&gt;B27,(COUNTIFS(Suizo!$C$5:$C$12,D27,Suizo!$H$5:$H$12,INDEX($G$3:$G$18,13))+COUNTIFS(Suizo!$C$5:$C$12,INDEX($G$3:$G$18,13),Suizo!$H$5:$H$12,D27))=0),13,99)</f>
        <v>99</v>
      </c>
      <c r="AI27" s="0" t="n">
        <f aca="false">IF(AND(S27=0,14&gt;B27,(COUNTIFS(Suizo!$C$5:$C$12,D27,Suizo!$H$5:$H$12,INDEX($G$3:$G$18,14))+COUNTIFS(Suizo!$C$5:$C$12,INDEX($G$3:$G$18,14),Suizo!$H$5:$H$12,D27))=0),14,99)</f>
        <v>99</v>
      </c>
      <c r="AJ27" s="0" t="n">
        <f aca="false">IF(AND(T27=0,15&gt;B27,(COUNTIFS(Suizo!$C$5:$C$12,D27,Suizo!$H$5:$H$12,INDEX($G$3:$G$18,15))+COUNTIFS(Suizo!$C$5:$C$12,INDEX($G$3:$G$18,15),Suizo!$H$5:$H$12,D27))=0),15,99)</f>
        <v>15</v>
      </c>
      <c r="AK27" s="0" t="n">
        <f aca="false">IF(AND(U27=0,16&gt;B27,(COUNTIFS(Suizo!$C$5:$C$12,D27,Suizo!$H$5:$H$12,INDEX($G$3:$G$18,16))+COUNTIFS(Suizo!$C$5:$C$12,INDEX($G$3:$G$18,16),Suizo!$H$5:$H$12,D27))=0),16,99)</f>
        <v>16</v>
      </c>
      <c r="AL27" s="0" t="n">
        <f aca="false">IF(AND(F27=0,1&gt;B27),1,99)</f>
        <v>99</v>
      </c>
      <c r="AM27" s="0" t="n">
        <f aca="false">IF(AND(G27=0,2&gt;B27),2,99)</f>
        <v>99</v>
      </c>
      <c r="AN27" s="0" t="n">
        <f aca="false">IF(AND(H27=0,3&gt;B27),3,99)</f>
        <v>99</v>
      </c>
      <c r="AO27" s="0" t="n">
        <f aca="false">IF(AND(I27=0,4&gt;B27),4,99)</f>
        <v>99</v>
      </c>
      <c r="AP27" s="0" t="n">
        <f aca="false">IF(AND(J27=0,5&gt;B27),5,99)</f>
        <v>99</v>
      </c>
      <c r="AQ27" s="0" t="n">
        <f aca="false">IF(AND(K27=0,6&gt;B27),6,99)</f>
        <v>99</v>
      </c>
      <c r="AR27" s="0" t="n">
        <f aca="false">IF(AND(L27=0,7&gt;B27),7,99)</f>
        <v>99</v>
      </c>
      <c r="AS27" s="0" t="n">
        <f aca="false">IF(AND(M27=0,8&gt;B27),8,99)</f>
        <v>99</v>
      </c>
      <c r="AT27" s="0" t="n">
        <f aca="false">IF(AND(N27=0,9&gt;B27),9,99)</f>
        <v>99</v>
      </c>
      <c r="AU27" s="0" t="n">
        <f aca="false">IF(AND(O27=0,10&gt;B27),10,99)</f>
        <v>99</v>
      </c>
      <c r="AV27" s="0" t="n">
        <f aca="false">IF(AND(P27=0,11&gt;B27),11,99)</f>
        <v>99</v>
      </c>
      <c r="AW27" s="0" t="n">
        <f aca="false">IF(AND(Q27=0,12&gt;B27),12,99)</f>
        <v>99</v>
      </c>
      <c r="AX27" s="0" t="n">
        <f aca="false">IF(AND(R27=0,13&gt;B27),13,99)</f>
        <v>99</v>
      </c>
      <c r="AY27" s="0" t="n">
        <f aca="false">IF(AND(S27=0,14&gt;B27),14,99)</f>
        <v>14</v>
      </c>
      <c r="AZ27" s="0" t="n">
        <f aca="false">IF(AND(T27=0,15&gt;B27),15,99)</f>
        <v>15</v>
      </c>
      <c r="BA27" s="0" t="n">
        <f aca="false">IF(AND(U27=0,16&gt;B27),16,99)</f>
        <v>16</v>
      </c>
      <c r="BB27" s="0" t="str">
        <f aca="false">IF(MIN(V27:AK27)=99,"REVANCHA","")</f>
        <v/>
      </c>
    </row>
    <row r="28" customFormat="false" ht="15" hidden="false" customHeight="false" outlineLevel="0" collapsed="false">
      <c r="A28" s="0" t="n">
        <v>8</v>
      </c>
      <c r="B28" s="0" t="n">
        <f aca="false">MATCH(0,F28:U28,0)</f>
        <v>14</v>
      </c>
      <c r="C28" s="0" t="n">
        <f aca="false">IF(MIN(V28:AK28)&lt;99,MIN(V28:AK28),MIN(AL28:BA28))</f>
        <v>16</v>
      </c>
      <c r="D28" s="0" t="n">
        <f aca="false">INDEX($G$3:$G$18,B28)</f>
        <v>14</v>
      </c>
      <c r="E28" s="0" t="n">
        <f aca="false">INDEX($G$3:$G$18,C28)</f>
        <v>16</v>
      </c>
      <c r="F28" s="0" t="n">
        <f aca="false">IF(OR(F27=1,B27=1,C27=1),1,0)</f>
        <v>1</v>
      </c>
      <c r="G28" s="0" t="n">
        <f aca="false">IF(OR(G27=1,B27=2,C27=2),1,0)</f>
        <v>1</v>
      </c>
      <c r="H28" s="0" t="n">
        <f aca="false">IF(OR(H27=1,B27=3,C27=3),1,0)</f>
        <v>1</v>
      </c>
      <c r="I28" s="0" t="n">
        <f aca="false">IF(OR(I27=1,B27=4,C27=4),1,0)</f>
        <v>1</v>
      </c>
      <c r="J28" s="0" t="n">
        <f aca="false">IF(OR(J27=1,B27=5,C27=5),1,0)</f>
        <v>1</v>
      </c>
      <c r="K28" s="0" t="n">
        <f aca="false">IF(OR(K27=1,B27=6,C27=6),1,0)</f>
        <v>1</v>
      </c>
      <c r="L28" s="0" t="n">
        <f aca="false">IF(OR(L27=1,B27=7,C27=7),1,0)</f>
        <v>1</v>
      </c>
      <c r="M28" s="0" t="n">
        <f aca="false">IF(OR(M27=1,B27=8,C27=8),1,0)</f>
        <v>1</v>
      </c>
      <c r="N28" s="0" t="n">
        <f aca="false">IF(OR(N27=1,B27=9,C27=9),1,0)</f>
        <v>1</v>
      </c>
      <c r="O28" s="0" t="n">
        <f aca="false">IF(OR(O27=1,B27=10,C27=10),1,0)</f>
        <v>1</v>
      </c>
      <c r="P28" s="0" t="n">
        <f aca="false">IF(OR(P27=1,B27=11,C27=11),1,0)</f>
        <v>1</v>
      </c>
      <c r="Q28" s="0" t="n">
        <f aca="false">IF(OR(Q27=1,B27=12,C27=12),1,0)</f>
        <v>1</v>
      </c>
      <c r="R28" s="0" t="n">
        <f aca="false">IF(OR(R27=1,B27=13,C27=13),1,0)</f>
        <v>1</v>
      </c>
      <c r="S28" s="0" t="n">
        <f aca="false">IF(OR(S27=1,B27=14,C27=14),1,0)</f>
        <v>0</v>
      </c>
      <c r="T28" s="0" t="n">
        <f aca="false">IF(OR(T27=1,B27=15,C27=15),1,0)</f>
        <v>1</v>
      </c>
      <c r="U28" s="0" t="n">
        <f aca="false">IF(OR(U27=1,B27=16,C27=16),1,0)</f>
        <v>0</v>
      </c>
      <c r="V28" s="0" t="n">
        <f aca="false">IF(AND(F28=0,1&gt;B28,(COUNTIFS(Suizo!$C$5:$C$12,D28,Suizo!$H$5:$H$12,INDEX($G$3:$G$18,1))+COUNTIFS(Suizo!$C$5:$C$12,INDEX($G$3:$G$18,1),Suizo!$H$5:$H$12,D28))=0),1,99)</f>
        <v>99</v>
      </c>
      <c r="W28" s="0" t="n">
        <f aca="false">IF(AND(G28=0,2&gt;B28,(COUNTIFS(Suizo!$C$5:$C$12,D28,Suizo!$H$5:$H$12,INDEX($G$3:$G$18,2))+COUNTIFS(Suizo!$C$5:$C$12,INDEX($G$3:$G$18,2),Suizo!$H$5:$H$12,D28))=0),2,99)</f>
        <v>99</v>
      </c>
      <c r="X28" s="0" t="n">
        <f aca="false">IF(AND(H28=0,3&gt;B28,(COUNTIFS(Suizo!$C$5:$C$12,D28,Suizo!$H$5:$H$12,INDEX($G$3:$G$18,3))+COUNTIFS(Suizo!$C$5:$C$12,INDEX($G$3:$G$18,3),Suizo!$H$5:$H$12,D28))=0),3,99)</f>
        <v>99</v>
      </c>
      <c r="Y28" s="0" t="n">
        <f aca="false">IF(AND(I28=0,4&gt;B28,(COUNTIFS(Suizo!$C$5:$C$12,D28,Suizo!$H$5:$H$12,INDEX($G$3:$G$18,4))+COUNTIFS(Suizo!$C$5:$C$12,INDEX($G$3:$G$18,4),Suizo!$H$5:$H$12,D28))=0),4,99)</f>
        <v>99</v>
      </c>
      <c r="Z28" s="0" t="n">
        <f aca="false">IF(AND(J28=0,5&gt;B28,(COUNTIFS(Suizo!$C$5:$C$12,D28,Suizo!$H$5:$H$12,INDEX($G$3:$G$18,5))+COUNTIFS(Suizo!$C$5:$C$12,INDEX($G$3:$G$18,5),Suizo!$H$5:$H$12,D28))=0),5,99)</f>
        <v>99</v>
      </c>
      <c r="AA28" s="0" t="n">
        <f aca="false">IF(AND(K28=0,6&gt;B28,(COUNTIFS(Suizo!$C$5:$C$12,D28,Suizo!$H$5:$H$12,INDEX($G$3:$G$18,6))+COUNTIFS(Suizo!$C$5:$C$12,INDEX($G$3:$G$18,6),Suizo!$H$5:$H$12,D28))=0),6,99)</f>
        <v>99</v>
      </c>
      <c r="AB28" s="0" t="n">
        <f aca="false">IF(AND(L28=0,7&gt;B28,(COUNTIFS(Suizo!$C$5:$C$12,D28,Suizo!$H$5:$H$12,INDEX($G$3:$G$18,7))+COUNTIFS(Suizo!$C$5:$C$12,INDEX($G$3:$G$18,7),Suizo!$H$5:$H$12,D28))=0),7,99)</f>
        <v>99</v>
      </c>
      <c r="AC28" s="0" t="n">
        <f aca="false">IF(AND(M28=0,8&gt;B28,(COUNTIFS(Suizo!$C$5:$C$12,D28,Suizo!$H$5:$H$12,INDEX($G$3:$G$18,8))+COUNTIFS(Suizo!$C$5:$C$12,INDEX($G$3:$G$18,8),Suizo!$H$5:$H$12,D28))=0),8,99)</f>
        <v>99</v>
      </c>
      <c r="AD28" s="0" t="n">
        <f aca="false">IF(AND(N28=0,9&gt;B28,(COUNTIFS(Suizo!$C$5:$C$12,D28,Suizo!$H$5:$H$12,INDEX($G$3:$G$18,9))+COUNTIFS(Suizo!$C$5:$C$12,INDEX($G$3:$G$18,9),Suizo!$H$5:$H$12,D28))=0),9,99)</f>
        <v>99</v>
      </c>
      <c r="AE28" s="0" t="n">
        <f aca="false">IF(AND(O28=0,10&gt;B28,(COUNTIFS(Suizo!$C$5:$C$12,D28,Suizo!$H$5:$H$12,INDEX($G$3:$G$18,10))+COUNTIFS(Suizo!$C$5:$C$12,INDEX($G$3:$G$18,10),Suizo!$H$5:$H$12,D28))=0),10,99)</f>
        <v>99</v>
      </c>
      <c r="AF28" s="0" t="n">
        <f aca="false">IF(AND(P28=0,11&gt;B28,(COUNTIFS(Suizo!$C$5:$C$12,D28,Suizo!$H$5:$H$12,INDEX($G$3:$G$18,11))+COUNTIFS(Suizo!$C$5:$C$12,INDEX($G$3:$G$18,11),Suizo!$H$5:$H$12,D28))=0),11,99)</f>
        <v>99</v>
      </c>
      <c r="AG28" s="0" t="n">
        <f aca="false">IF(AND(Q28=0,12&gt;B28,(COUNTIFS(Suizo!$C$5:$C$12,D28,Suizo!$H$5:$H$12,INDEX($G$3:$G$18,12))+COUNTIFS(Suizo!$C$5:$C$12,INDEX($G$3:$G$18,12),Suizo!$H$5:$H$12,D28))=0),12,99)</f>
        <v>99</v>
      </c>
      <c r="AH28" s="0" t="n">
        <f aca="false">IF(AND(R28=0,13&gt;B28,(COUNTIFS(Suizo!$C$5:$C$12,D28,Suizo!$H$5:$H$12,INDEX($G$3:$G$18,13))+COUNTIFS(Suizo!$C$5:$C$12,INDEX($G$3:$G$18,13),Suizo!$H$5:$H$12,D28))=0),13,99)</f>
        <v>99</v>
      </c>
      <c r="AI28" s="0" t="n">
        <f aca="false">IF(AND(S28=0,14&gt;B28,(COUNTIFS(Suizo!$C$5:$C$12,D28,Suizo!$H$5:$H$12,INDEX($G$3:$G$18,14))+COUNTIFS(Suizo!$C$5:$C$12,INDEX($G$3:$G$18,14),Suizo!$H$5:$H$12,D28))=0),14,99)</f>
        <v>99</v>
      </c>
      <c r="AJ28" s="0" t="n">
        <f aca="false">IF(AND(T28=0,15&gt;B28,(COUNTIFS(Suizo!$C$5:$C$12,D28,Suizo!$H$5:$H$12,INDEX($G$3:$G$18,15))+COUNTIFS(Suizo!$C$5:$C$12,INDEX($G$3:$G$18,15),Suizo!$H$5:$H$12,D28))=0),15,99)</f>
        <v>99</v>
      </c>
      <c r="AK28" s="0" t="n">
        <f aca="false">IF(AND(U28=0,16&gt;B28,(COUNTIFS(Suizo!$C$5:$C$12,D28,Suizo!$H$5:$H$12,INDEX($G$3:$G$18,16))+COUNTIFS(Suizo!$C$5:$C$12,INDEX($G$3:$G$18,16),Suizo!$H$5:$H$12,D28))=0),16,99)</f>
        <v>16</v>
      </c>
      <c r="AL28" s="0" t="n">
        <f aca="false">IF(AND(F28=0,1&gt;B28),1,99)</f>
        <v>99</v>
      </c>
      <c r="AM28" s="0" t="n">
        <f aca="false">IF(AND(G28=0,2&gt;B28),2,99)</f>
        <v>99</v>
      </c>
      <c r="AN28" s="0" t="n">
        <f aca="false">IF(AND(H28=0,3&gt;B28),3,99)</f>
        <v>99</v>
      </c>
      <c r="AO28" s="0" t="n">
        <f aca="false">IF(AND(I28=0,4&gt;B28),4,99)</f>
        <v>99</v>
      </c>
      <c r="AP28" s="0" t="n">
        <f aca="false">IF(AND(J28=0,5&gt;B28),5,99)</f>
        <v>99</v>
      </c>
      <c r="AQ28" s="0" t="n">
        <f aca="false">IF(AND(K28=0,6&gt;B28),6,99)</f>
        <v>99</v>
      </c>
      <c r="AR28" s="0" t="n">
        <f aca="false">IF(AND(L28=0,7&gt;B28),7,99)</f>
        <v>99</v>
      </c>
      <c r="AS28" s="0" t="n">
        <f aca="false">IF(AND(M28=0,8&gt;B28),8,99)</f>
        <v>99</v>
      </c>
      <c r="AT28" s="0" t="n">
        <f aca="false">IF(AND(N28=0,9&gt;B28),9,99)</f>
        <v>99</v>
      </c>
      <c r="AU28" s="0" t="n">
        <f aca="false">IF(AND(O28=0,10&gt;B28),10,99)</f>
        <v>99</v>
      </c>
      <c r="AV28" s="0" t="n">
        <f aca="false">IF(AND(P28=0,11&gt;B28),11,99)</f>
        <v>99</v>
      </c>
      <c r="AW28" s="0" t="n">
        <f aca="false">IF(AND(Q28=0,12&gt;B28),12,99)</f>
        <v>99</v>
      </c>
      <c r="AX28" s="0" t="n">
        <f aca="false">IF(AND(R28=0,13&gt;B28),13,99)</f>
        <v>99</v>
      </c>
      <c r="AY28" s="0" t="n">
        <f aca="false">IF(AND(S28=0,14&gt;B28),14,99)</f>
        <v>99</v>
      </c>
      <c r="AZ28" s="0" t="n">
        <f aca="false">IF(AND(T28=0,15&gt;B28),15,99)</f>
        <v>99</v>
      </c>
      <c r="BA28" s="0" t="n">
        <f aca="false">IF(AND(U28=0,16&gt;B28),16,99)</f>
        <v>16</v>
      </c>
      <c r="BB28" s="0" t="str">
        <f aca="false">IF(MIN(V28:AK28)=99,"REVANCHA","")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02C4"/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5" min="3" style="0" width="6"/>
    <col collapsed="false" customWidth="true" hidden="false" outlineLevel="0" max="8" min="6" style="0" width="7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true" outlineLevel="0" max="11" min="11" style="0" width="5"/>
  </cols>
  <sheetData>
    <row r="1" customFormat="false" ht="19.7" hidden="false" customHeight="false" outlineLevel="0" collapsed="false">
      <c r="A1" s="1" t="s">
        <v>84</v>
      </c>
      <c r="L1" s="2" t="s">
        <v>85</v>
      </c>
      <c r="M1" s="27" t="n">
        <f aca="false">COUNTIF(Suizo!$K$5:$K$20,"&gt;0")</f>
        <v>0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3" t="s">
        <v>79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87</v>
      </c>
      <c r="K4" s="3" t="s">
        <v>88</v>
      </c>
    </row>
    <row r="5" customFormat="false" ht="15" hidden="false" customHeight="false" outlineLevel="0" collapsed="false">
      <c r="A5" s="17" t="n">
        <v>1</v>
      </c>
      <c r="B5" s="28" t="str">
        <f aca="false">INDEX(Calculo!$B$2:$B$17,K5)</f>
        <v>Cardozo / Cardozo</v>
      </c>
      <c r="C5" s="17" t="n">
        <f aca="false">INDEX(Calculo!$C$2:$C$17,K5)</f>
        <v>0</v>
      </c>
      <c r="D5" s="17" t="n">
        <f aca="false">INDEX(Calculo!$D$2:$D$17,K5)</f>
        <v>0</v>
      </c>
      <c r="E5" s="17" t="n">
        <f aca="false">INDEX(Calculo!$E$2:$E$17,K5)</f>
        <v>0</v>
      </c>
      <c r="F5" s="17" t="n">
        <f aca="false">INDEX(Calculo!$F$2:$F$17,K5)</f>
        <v>0</v>
      </c>
      <c r="G5" s="17" t="n">
        <f aca="false">INDEX(Calculo!$G$2:$G$17,K5)</f>
        <v>0</v>
      </c>
      <c r="H5" s="17" t="n">
        <f aca="false">INDEX(Calculo!$H$2:$H$17,K5)</f>
        <v>0</v>
      </c>
      <c r="I5" s="17" t="n">
        <f aca="false">INDEX(Calculo!$I$2:$I$17,K5)</f>
        <v>0</v>
      </c>
      <c r="J5" s="17" t="str">
        <f aca="false">IF(A5&lt;=8,"Clasifica","Eliminado")&amp;IF($M$1&lt;16," (provisorio)","")</f>
        <v>Clasifica (provisorio)</v>
      </c>
      <c r="K5" s="17" t="n">
        <f aca="false">INDEX(Calculo!$A$2:$A$17,MATCH(LARGE(Calculo!$J$2:$J$17,A5),Calculo!$J$2:$J$17,0))</f>
        <v>1</v>
      </c>
    </row>
    <row r="6" customFormat="false" ht="15" hidden="false" customHeight="false" outlineLevel="0" collapsed="false">
      <c r="A6" s="17" t="n">
        <v>2</v>
      </c>
      <c r="B6" s="28" t="str">
        <f aca="false">INDEX(Calculo!$B$2:$B$17,K6)</f>
        <v>Blas / Agustin</v>
      </c>
      <c r="C6" s="17" t="n">
        <f aca="false">INDEX(Calculo!$C$2:$C$17,K6)</f>
        <v>0</v>
      </c>
      <c r="D6" s="17" t="n">
        <f aca="false">INDEX(Calculo!$D$2:$D$17,K6)</f>
        <v>0</v>
      </c>
      <c r="E6" s="17" t="n">
        <f aca="false">INDEX(Calculo!$E$2:$E$17,K6)</f>
        <v>0</v>
      </c>
      <c r="F6" s="17" t="n">
        <f aca="false">INDEX(Calculo!$F$2:$F$17,K6)</f>
        <v>0</v>
      </c>
      <c r="G6" s="17" t="n">
        <f aca="false">INDEX(Calculo!$G$2:$G$17,K6)</f>
        <v>0</v>
      </c>
      <c r="H6" s="17" t="n">
        <f aca="false">INDEX(Calculo!$H$2:$H$17,K6)</f>
        <v>0</v>
      </c>
      <c r="I6" s="17" t="n">
        <f aca="false">INDEX(Calculo!$I$2:$I$17,K6)</f>
        <v>0</v>
      </c>
      <c r="J6" s="17" t="str">
        <f aca="false">IF(A6&lt;=8,"Clasifica","Eliminado")&amp;IF($M$1&lt;16," (provisorio)","")</f>
        <v>Clasifica (provisorio)</v>
      </c>
      <c r="K6" s="17" t="n">
        <f aca="false">INDEX(Calculo!$A$2:$A$17,MATCH(LARGE(Calculo!$J$2:$J$17,A6),Calculo!$J$2:$J$17,0))</f>
        <v>2</v>
      </c>
    </row>
    <row r="7" customFormat="false" ht="15" hidden="false" customHeight="false" outlineLevel="0" collapsed="false">
      <c r="A7" s="17" t="n">
        <v>3</v>
      </c>
      <c r="B7" s="28" t="str">
        <f aca="false">INDEX(Calculo!$B$2:$B$17,K7)</f>
        <v>Diego / (a confirmar)</v>
      </c>
      <c r="C7" s="17" t="n">
        <f aca="false">INDEX(Calculo!$C$2:$C$17,K7)</f>
        <v>0</v>
      </c>
      <c r="D7" s="17" t="n">
        <f aca="false">INDEX(Calculo!$D$2:$D$17,K7)</f>
        <v>0</v>
      </c>
      <c r="E7" s="17" t="n">
        <f aca="false">INDEX(Calculo!$E$2:$E$17,K7)</f>
        <v>0</v>
      </c>
      <c r="F7" s="17" t="n">
        <f aca="false">INDEX(Calculo!$F$2:$F$17,K7)</f>
        <v>0</v>
      </c>
      <c r="G7" s="17" t="n">
        <f aca="false">INDEX(Calculo!$G$2:$G$17,K7)</f>
        <v>0</v>
      </c>
      <c r="H7" s="17" t="n">
        <f aca="false">INDEX(Calculo!$H$2:$H$17,K7)</f>
        <v>0</v>
      </c>
      <c r="I7" s="17" t="n">
        <f aca="false">INDEX(Calculo!$I$2:$I$17,K7)</f>
        <v>0</v>
      </c>
      <c r="J7" s="17" t="str">
        <f aca="false">IF(A7&lt;=8,"Clasifica","Eliminado")&amp;IF($M$1&lt;16," (provisorio)","")</f>
        <v>Clasifica (provisorio)</v>
      </c>
      <c r="K7" s="17" t="n">
        <f aca="false">INDEX(Calculo!$A$2:$A$17,MATCH(LARGE(Calculo!$J$2:$J$17,A7),Calculo!$J$2:$J$17,0))</f>
        <v>3</v>
      </c>
    </row>
    <row r="8" customFormat="false" ht="15" hidden="false" customHeight="false" outlineLevel="0" collapsed="false">
      <c r="A8" s="17" t="n">
        <v>4</v>
      </c>
      <c r="B8" s="28" t="str">
        <f aca="false">INDEX(Calculo!$B$2:$B$17,K8)</f>
        <v>Luciano / Gonzalo</v>
      </c>
      <c r="C8" s="17" t="n">
        <f aca="false">INDEX(Calculo!$C$2:$C$17,K8)</f>
        <v>0</v>
      </c>
      <c r="D8" s="17" t="n">
        <f aca="false">INDEX(Calculo!$D$2:$D$17,K8)</f>
        <v>0</v>
      </c>
      <c r="E8" s="17" t="n">
        <f aca="false">INDEX(Calculo!$E$2:$E$17,K8)</f>
        <v>0</v>
      </c>
      <c r="F8" s="17" t="n">
        <f aca="false">INDEX(Calculo!$F$2:$F$17,K8)</f>
        <v>0</v>
      </c>
      <c r="G8" s="17" t="n">
        <f aca="false">INDEX(Calculo!$G$2:$G$17,K8)</f>
        <v>0</v>
      </c>
      <c r="H8" s="17" t="n">
        <f aca="false">INDEX(Calculo!$H$2:$H$17,K8)</f>
        <v>0</v>
      </c>
      <c r="I8" s="17" t="n">
        <f aca="false">INDEX(Calculo!$I$2:$I$17,K8)</f>
        <v>0</v>
      </c>
      <c r="J8" s="17" t="str">
        <f aca="false">IF(A8&lt;=8,"Clasifica","Eliminado")&amp;IF($M$1&lt;16," (provisorio)","")</f>
        <v>Clasifica (provisorio)</v>
      </c>
      <c r="K8" s="17" t="n">
        <f aca="false">INDEX(Calculo!$A$2:$A$17,MATCH(LARGE(Calculo!$J$2:$J$17,A8),Calculo!$J$2:$J$17,0))</f>
        <v>4</v>
      </c>
    </row>
    <row r="9" customFormat="false" ht="15" hidden="false" customHeight="false" outlineLevel="0" collapsed="false">
      <c r="A9" s="17" t="n">
        <v>5</v>
      </c>
      <c r="B9" s="28" t="str">
        <f aca="false">INDEX(Calculo!$B$2:$B$17,K9)</f>
        <v>Francisco / Marcos</v>
      </c>
      <c r="C9" s="17" t="n">
        <f aca="false">INDEX(Calculo!$C$2:$C$17,K9)</f>
        <v>0</v>
      </c>
      <c r="D9" s="17" t="n">
        <f aca="false">INDEX(Calculo!$D$2:$D$17,K9)</f>
        <v>0</v>
      </c>
      <c r="E9" s="17" t="n">
        <f aca="false">INDEX(Calculo!$E$2:$E$17,K9)</f>
        <v>0</v>
      </c>
      <c r="F9" s="17" t="n">
        <f aca="false">INDEX(Calculo!$F$2:$F$17,K9)</f>
        <v>0</v>
      </c>
      <c r="G9" s="17" t="n">
        <f aca="false">INDEX(Calculo!$G$2:$G$17,K9)</f>
        <v>0</v>
      </c>
      <c r="H9" s="17" t="n">
        <f aca="false">INDEX(Calculo!$H$2:$H$17,K9)</f>
        <v>0</v>
      </c>
      <c r="I9" s="17" t="n">
        <f aca="false">INDEX(Calculo!$I$2:$I$17,K9)</f>
        <v>0</v>
      </c>
      <c r="J9" s="17" t="str">
        <f aca="false">IF(A9&lt;=8,"Clasifica","Eliminado")&amp;IF($M$1&lt;16," (provisorio)","")</f>
        <v>Clasifica (provisorio)</v>
      </c>
      <c r="K9" s="17" t="n">
        <f aca="false">INDEX(Calculo!$A$2:$A$17,MATCH(LARGE(Calculo!$J$2:$J$17,A9),Calculo!$J$2:$J$17,0))</f>
        <v>5</v>
      </c>
    </row>
    <row r="10" customFormat="false" ht="15" hidden="false" customHeight="false" outlineLevel="0" collapsed="false">
      <c r="A10" s="17" t="n">
        <v>6</v>
      </c>
      <c r="B10" s="28" t="str">
        <f aca="false">INDEX(Calculo!$B$2:$B$17,K10)</f>
        <v>Luciano / Lautaro</v>
      </c>
      <c r="C10" s="17" t="n">
        <f aca="false">INDEX(Calculo!$C$2:$C$17,K10)</f>
        <v>0</v>
      </c>
      <c r="D10" s="17" t="n">
        <f aca="false">INDEX(Calculo!$D$2:$D$17,K10)</f>
        <v>0</v>
      </c>
      <c r="E10" s="17" t="n">
        <f aca="false">INDEX(Calculo!$E$2:$E$17,K10)</f>
        <v>0</v>
      </c>
      <c r="F10" s="17" t="n">
        <f aca="false">INDEX(Calculo!$F$2:$F$17,K10)</f>
        <v>0</v>
      </c>
      <c r="G10" s="17" t="n">
        <f aca="false">INDEX(Calculo!$G$2:$G$17,K10)</f>
        <v>0</v>
      </c>
      <c r="H10" s="17" t="n">
        <f aca="false">INDEX(Calculo!$H$2:$H$17,K10)</f>
        <v>0</v>
      </c>
      <c r="I10" s="17" t="n">
        <f aca="false">INDEX(Calculo!$I$2:$I$17,K10)</f>
        <v>0</v>
      </c>
      <c r="J10" s="17" t="str">
        <f aca="false">IF(A10&lt;=8,"Clasifica","Eliminado")&amp;IF($M$1&lt;16," (provisorio)","")</f>
        <v>Clasifica (provisorio)</v>
      </c>
      <c r="K10" s="17" t="n">
        <f aca="false">INDEX(Calculo!$A$2:$A$17,MATCH(LARGE(Calculo!$J$2:$J$17,A10),Calculo!$J$2:$J$17,0))</f>
        <v>6</v>
      </c>
    </row>
    <row r="11" customFormat="false" ht="15" hidden="false" customHeight="false" outlineLevel="0" collapsed="false">
      <c r="A11" s="17" t="n">
        <v>7</v>
      </c>
      <c r="B11" s="28" t="str">
        <f aca="false">INDEX(Calculo!$B$2:$B$17,K11)</f>
        <v>Simon / Joaquin</v>
      </c>
      <c r="C11" s="17" t="n">
        <f aca="false">INDEX(Calculo!$C$2:$C$17,K11)</f>
        <v>0</v>
      </c>
      <c r="D11" s="17" t="n">
        <f aca="false">INDEX(Calculo!$D$2:$D$17,K11)</f>
        <v>0</v>
      </c>
      <c r="E11" s="17" t="n">
        <f aca="false">INDEX(Calculo!$E$2:$E$17,K11)</f>
        <v>0</v>
      </c>
      <c r="F11" s="17" t="n">
        <f aca="false">INDEX(Calculo!$F$2:$F$17,K11)</f>
        <v>0</v>
      </c>
      <c r="G11" s="17" t="n">
        <f aca="false">INDEX(Calculo!$G$2:$G$17,K11)</f>
        <v>0</v>
      </c>
      <c r="H11" s="17" t="n">
        <f aca="false">INDEX(Calculo!$H$2:$H$17,K11)</f>
        <v>0</v>
      </c>
      <c r="I11" s="17" t="n">
        <f aca="false">INDEX(Calculo!$I$2:$I$17,K11)</f>
        <v>0</v>
      </c>
      <c r="J11" s="17" t="str">
        <f aca="false">IF(A11&lt;=8,"Clasifica","Eliminado")&amp;IF($M$1&lt;16," (provisorio)","")</f>
        <v>Clasifica (provisorio)</v>
      </c>
      <c r="K11" s="17" t="n">
        <f aca="false">INDEX(Calculo!$A$2:$A$17,MATCH(LARGE(Calculo!$J$2:$J$17,A11),Calculo!$J$2:$J$17,0))</f>
        <v>7</v>
      </c>
    </row>
    <row r="12" customFormat="false" ht="15" hidden="false" customHeight="false" outlineLevel="0" collapsed="false">
      <c r="A12" s="17" t="n">
        <v>8</v>
      </c>
      <c r="B12" s="28" t="str">
        <f aca="false">INDEX(Calculo!$B$2:$B$17,K12)</f>
        <v>Rodrigo / Nazareno</v>
      </c>
      <c r="C12" s="17" t="n">
        <f aca="false">INDEX(Calculo!$C$2:$C$17,K12)</f>
        <v>0</v>
      </c>
      <c r="D12" s="17" t="n">
        <f aca="false">INDEX(Calculo!$D$2:$D$17,K12)</f>
        <v>0</v>
      </c>
      <c r="E12" s="17" t="n">
        <f aca="false">INDEX(Calculo!$E$2:$E$17,K12)</f>
        <v>0</v>
      </c>
      <c r="F12" s="17" t="n">
        <f aca="false">INDEX(Calculo!$F$2:$F$17,K12)</f>
        <v>0</v>
      </c>
      <c r="G12" s="17" t="n">
        <f aca="false">INDEX(Calculo!$G$2:$G$17,K12)</f>
        <v>0</v>
      </c>
      <c r="H12" s="17" t="n">
        <f aca="false">INDEX(Calculo!$H$2:$H$17,K12)</f>
        <v>0</v>
      </c>
      <c r="I12" s="17" t="n">
        <f aca="false">INDEX(Calculo!$I$2:$I$17,K12)</f>
        <v>0</v>
      </c>
      <c r="J12" s="17" t="str">
        <f aca="false">IF(A12&lt;=8,"Clasifica","Eliminado")&amp;IF($M$1&lt;16," (provisorio)","")</f>
        <v>Clasifica (provisorio)</v>
      </c>
      <c r="K12" s="17" t="n">
        <f aca="false">INDEX(Calculo!$A$2:$A$17,MATCH(LARGE(Calculo!$J$2:$J$17,A12),Calculo!$J$2:$J$17,0))</f>
        <v>8</v>
      </c>
    </row>
    <row r="13" customFormat="false" ht="15" hidden="false" customHeight="false" outlineLevel="0" collapsed="false">
      <c r="A13" s="17" t="n">
        <v>9</v>
      </c>
      <c r="B13" s="28" t="str">
        <f aca="false">INDEX(Calculo!$B$2:$B$17,K13)</f>
        <v>Bautista / Luciano</v>
      </c>
      <c r="C13" s="17" t="n">
        <f aca="false">INDEX(Calculo!$C$2:$C$17,K13)</f>
        <v>0</v>
      </c>
      <c r="D13" s="17" t="n">
        <f aca="false">INDEX(Calculo!$D$2:$D$17,K13)</f>
        <v>0</v>
      </c>
      <c r="E13" s="17" t="n">
        <f aca="false">INDEX(Calculo!$E$2:$E$17,K13)</f>
        <v>0</v>
      </c>
      <c r="F13" s="17" t="n">
        <f aca="false">INDEX(Calculo!$F$2:$F$17,K13)</f>
        <v>0</v>
      </c>
      <c r="G13" s="17" t="n">
        <f aca="false">INDEX(Calculo!$G$2:$G$17,K13)</f>
        <v>0</v>
      </c>
      <c r="H13" s="17" t="n">
        <f aca="false">INDEX(Calculo!$H$2:$H$17,K13)</f>
        <v>0</v>
      </c>
      <c r="I13" s="17" t="n">
        <f aca="false">INDEX(Calculo!$I$2:$I$17,K13)</f>
        <v>0</v>
      </c>
      <c r="J13" s="17" t="str">
        <f aca="false">IF(A13&lt;=8,"Clasifica","Eliminado")&amp;IF($M$1&lt;16," (provisorio)","")</f>
        <v>Eliminado (provisorio)</v>
      </c>
      <c r="K13" s="17" t="n">
        <f aca="false">INDEX(Calculo!$A$2:$A$17,MATCH(LARGE(Calculo!$J$2:$J$17,A13),Calculo!$J$2:$J$17,0))</f>
        <v>9</v>
      </c>
    </row>
    <row r="14" customFormat="false" ht="15" hidden="false" customHeight="false" outlineLevel="0" collapsed="false">
      <c r="A14" s="17" t="n">
        <v>10</v>
      </c>
      <c r="B14" s="28" t="str">
        <f aca="false">INDEX(Calculo!$B$2:$B$17,K14)</f>
        <v>Lucas / Martin</v>
      </c>
      <c r="C14" s="17" t="n">
        <f aca="false">INDEX(Calculo!$C$2:$C$17,K14)</f>
        <v>0</v>
      </c>
      <c r="D14" s="17" t="n">
        <f aca="false">INDEX(Calculo!$D$2:$D$17,K14)</f>
        <v>0</v>
      </c>
      <c r="E14" s="17" t="n">
        <f aca="false">INDEX(Calculo!$E$2:$E$17,K14)</f>
        <v>0</v>
      </c>
      <c r="F14" s="17" t="n">
        <f aca="false">INDEX(Calculo!$F$2:$F$17,K14)</f>
        <v>0</v>
      </c>
      <c r="G14" s="17" t="n">
        <f aca="false">INDEX(Calculo!$G$2:$G$17,K14)</f>
        <v>0</v>
      </c>
      <c r="H14" s="17" t="n">
        <f aca="false">INDEX(Calculo!$H$2:$H$17,K14)</f>
        <v>0</v>
      </c>
      <c r="I14" s="17" t="n">
        <f aca="false">INDEX(Calculo!$I$2:$I$17,K14)</f>
        <v>0</v>
      </c>
      <c r="J14" s="17" t="str">
        <f aca="false">IF(A14&lt;=8,"Clasifica","Eliminado")&amp;IF($M$1&lt;16," (provisorio)","")</f>
        <v>Eliminado (provisorio)</v>
      </c>
      <c r="K14" s="17" t="n">
        <f aca="false">INDEX(Calculo!$A$2:$A$17,MATCH(LARGE(Calculo!$J$2:$J$17,A14),Calculo!$J$2:$J$17,0))</f>
        <v>10</v>
      </c>
    </row>
    <row r="15" customFormat="false" ht="15" hidden="false" customHeight="false" outlineLevel="0" collapsed="false">
      <c r="A15" s="17" t="n">
        <v>11</v>
      </c>
      <c r="B15" s="28" t="str">
        <f aca="false">INDEX(Calculo!$B$2:$B$17,K15)</f>
        <v>Agustin / Rodrigo</v>
      </c>
      <c r="C15" s="17" t="n">
        <f aca="false">INDEX(Calculo!$C$2:$C$17,K15)</f>
        <v>0</v>
      </c>
      <c r="D15" s="17" t="n">
        <f aca="false">INDEX(Calculo!$D$2:$D$17,K15)</f>
        <v>0</v>
      </c>
      <c r="E15" s="17" t="n">
        <f aca="false">INDEX(Calculo!$E$2:$E$17,K15)</f>
        <v>0</v>
      </c>
      <c r="F15" s="17" t="n">
        <f aca="false">INDEX(Calculo!$F$2:$F$17,K15)</f>
        <v>0</v>
      </c>
      <c r="G15" s="17" t="n">
        <f aca="false">INDEX(Calculo!$G$2:$G$17,K15)</f>
        <v>0</v>
      </c>
      <c r="H15" s="17" t="n">
        <f aca="false">INDEX(Calculo!$H$2:$H$17,K15)</f>
        <v>0</v>
      </c>
      <c r="I15" s="17" t="n">
        <f aca="false">INDEX(Calculo!$I$2:$I$17,K15)</f>
        <v>0</v>
      </c>
      <c r="J15" s="17" t="str">
        <f aca="false">IF(A15&lt;=8,"Clasifica","Eliminado")&amp;IF($M$1&lt;16," (provisorio)","")</f>
        <v>Eliminado (provisorio)</v>
      </c>
      <c r="K15" s="17" t="n">
        <f aca="false">INDEX(Calculo!$A$2:$A$17,MATCH(LARGE(Calculo!$J$2:$J$17,A15),Calculo!$J$2:$J$17,0))</f>
        <v>11</v>
      </c>
    </row>
    <row r="16" customFormat="false" ht="15" hidden="false" customHeight="false" outlineLevel="0" collapsed="false">
      <c r="A16" s="17" t="n">
        <v>12</v>
      </c>
      <c r="B16" s="28" t="str">
        <f aca="false">INDEX(Calculo!$B$2:$B$17,K16)</f>
        <v>Enzo / Gonza</v>
      </c>
      <c r="C16" s="17" t="n">
        <f aca="false">INDEX(Calculo!$C$2:$C$17,K16)</f>
        <v>0</v>
      </c>
      <c r="D16" s="17" t="n">
        <f aca="false">INDEX(Calculo!$D$2:$D$17,K16)</f>
        <v>0</v>
      </c>
      <c r="E16" s="17" t="n">
        <f aca="false">INDEX(Calculo!$E$2:$E$17,K16)</f>
        <v>0</v>
      </c>
      <c r="F16" s="17" t="n">
        <f aca="false">INDEX(Calculo!$F$2:$F$17,K16)</f>
        <v>0</v>
      </c>
      <c r="G16" s="17" t="n">
        <f aca="false">INDEX(Calculo!$G$2:$G$17,K16)</f>
        <v>0</v>
      </c>
      <c r="H16" s="17" t="n">
        <f aca="false">INDEX(Calculo!$H$2:$H$17,K16)</f>
        <v>0</v>
      </c>
      <c r="I16" s="17" t="n">
        <f aca="false">INDEX(Calculo!$I$2:$I$17,K16)</f>
        <v>0</v>
      </c>
      <c r="J16" s="17" t="str">
        <f aca="false">IF(A16&lt;=8,"Clasifica","Eliminado")&amp;IF($M$1&lt;16," (provisorio)","")</f>
        <v>Eliminado (provisorio)</v>
      </c>
      <c r="K16" s="17" t="n">
        <f aca="false">INDEX(Calculo!$A$2:$A$17,MATCH(LARGE(Calculo!$J$2:$J$17,A16),Calculo!$J$2:$J$17,0))</f>
        <v>12</v>
      </c>
    </row>
    <row r="17" customFormat="false" ht="15" hidden="false" customHeight="false" outlineLevel="0" collapsed="false">
      <c r="A17" s="17" t="n">
        <v>13</v>
      </c>
      <c r="B17" s="28" t="str">
        <f aca="false">INDEX(Calculo!$B$2:$B$17,K17)</f>
        <v>Pareja 13</v>
      </c>
      <c r="C17" s="17" t="n">
        <f aca="false">INDEX(Calculo!$C$2:$C$17,K17)</f>
        <v>0</v>
      </c>
      <c r="D17" s="17" t="n">
        <f aca="false">INDEX(Calculo!$D$2:$D$17,K17)</f>
        <v>0</v>
      </c>
      <c r="E17" s="17" t="n">
        <f aca="false">INDEX(Calculo!$E$2:$E$17,K17)</f>
        <v>0</v>
      </c>
      <c r="F17" s="17" t="n">
        <f aca="false">INDEX(Calculo!$F$2:$F$17,K17)</f>
        <v>0</v>
      </c>
      <c r="G17" s="17" t="n">
        <f aca="false">INDEX(Calculo!$G$2:$G$17,K17)</f>
        <v>0</v>
      </c>
      <c r="H17" s="17" t="n">
        <f aca="false">INDEX(Calculo!$H$2:$H$17,K17)</f>
        <v>0</v>
      </c>
      <c r="I17" s="17" t="n">
        <f aca="false">INDEX(Calculo!$I$2:$I$17,K17)</f>
        <v>0</v>
      </c>
      <c r="J17" s="17" t="str">
        <f aca="false">IF(A17&lt;=8,"Clasifica","Eliminado")&amp;IF($M$1&lt;16," (provisorio)","")</f>
        <v>Eliminado (provisorio)</v>
      </c>
      <c r="K17" s="17" t="n">
        <f aca="false">INDEX(Calculo!$A$2:$A$17,MATCH(LARGE(Calculo!$J$2:$J$17,A17),Calculo!$J$2:$J$17,0))</f>
        <v>13</v>
      </c>
    </row>
    <row r="18" customFormat="false" ht="15" hidden="false" customHeight="false" outlineLevel="0" collapsed="false">
      <c r="A18" s="17" t="n">
        <v>14</v>
      </c>
      <c r="B18" s="28" t="str">
        <f aca="false">INDEX(Calculo!$B$2:$B$17,K18)</f>
        <v>Pareja 14</v>
      </c>
      <c r="C18" s="17" t="n">
        <f aca="false">INDEX(Calculo!$C$2:$C$17,K18)</f>
        <v>0</v>
      </c>
      <c r="D18" s="17" t="n">
        <f aca="false">INDEX(Calculo!$D$2:$D$17,K18)</f>
        <v>0</v>
      </c>
      <c r="E18" s="17" t="n">
        <f aca="false">INDEX(Calculo!$E$2:$E$17,K18)</f>
        <v>0</v>
      </c>
      <c r="F18" s="17" t="n">
        <f aca="false">INDEX(Calculo!$F$2:$F$17,K18)</f>
        <v>0</v>
      </c>
      <c r="G18" s="17" t="n">
        <f aca="false">INDEX(Calculo!$G$2:$G$17,K18)</f>
        <v>0</v>
      </c>
      <c r="H18" s="17" t="n">
        <f aca="false">INDEX(Calculo!$H$2:$H$17,K18)</f>
        <v>0</v>
      </c>
      <c r="I18" s="17" t="n">
        <f aca="false">INDEX(Calculo!$I$2:$I$17,K18)</f>
        <v>0</v>
      </c>
      <c r="J18" s="17" t="str">
        <f aca="false">IF(A18&lt;=8,"Clasifica","Eliminado")&amp;IF($M$1&lt;16," (provisorio)","")</f>
        <v>Eliminado (provisorio)</v>
      </c>
      <c r="K18" s="17" t="n">
        <f aca="false">INDEX(Calculo!$A$2:$A$17,MATCH(LARGE(Calculo!$J$2:$J$17,A18),Calculo!$J$2:$J$17,0))</f>
        <v>14</v>
      </c>
    </row>
    <row r="19" customFormat="false" ht="15" hidden="false" customHeight="false" outlineLevel="0" collapsed="false">
      <c r="A19" s="17" t="n">
        <v>15</v>
      </c>
      <c r="B19" s="28" t="str">
        <f aca="false">INDEX(Calculo!$B$2:$B$17,K19)</f>
        <v>Pareja 15</v>
      </c>
      <c r="C19" s="17" t="n">
        <f aca="false">INDEX(Calculo!$C$2:$C$17,K19)</f>
        <v>0</v>
      </c>
      <c r="D19" s="17" t="n">
        <f aca="false">INDEX(Calculo!$D$2:$D$17,K19)</f>
        <v>0</v>
      </c>
      <c r="E19" s="17" t="n">
        <f aca="false">INDEX(Calculo!$E$2:$E$17,K19)</f>
        <v>0</v>
      </c>
      <c r="F19" s="17" t="n">
        <f aca="false">INDEX(Calculo!$F$2:$F$17,K19)</f>
        <v>0</v>
      </c>
      <c r="G19" s="17" t="n">
        <f aca="false">INDEX(Calculo!$G$2:$G$17,K19)</f>
        <v>0</v>
      </c>
      <c r="H19" s="17" t="n">
        <f aca="false">INDEX(Calculo!$H$2:$H$17,K19)</f>
        <v>0</v>
      </c>
      <c r="I19" s="17" t="n">
        <f aca="false">INDEX(Calculo!$I$2:$I$17,K19)</f>
        <v>0</v>
      </c>
      <c r="J19" s="17" t="str">
        <f aca="false">IF(A19&lt;=8,"Clasifica","Eliminado")&amp;IF($M$1&lt;16," (provisorio)","")</f>
        <v>Eliminado (provisorio)</v>
      </c>
      <c r="K19" s="17" t="n">
        <f aca="false">INDEX(Calculo!$A$2:$A$17,MATCH(LARGE(Calculo!$J$2:$J$17,A19),Calculo!$J$2:$J$17,0))</f>
        <v>15</v>
      </c>
    </row>
    <row r="20" customFormat="false" ht="15" hidden="false" customHeight="false" outlineLevel="0" collapsed="false">
      <c r="A20" s="17" t="n">
        <v>16</v>
      </c>
      <c r="B20" s="28" t="str">
        <f aca="false">INDEX(Calculo!$B$2:$B$17,K20)</f>
        <v>Pareja 16</v>
      </c>
      <c r="C20" s="17" t="n">
        <f aca="false">INDEX(Calculo!$C$2:$C$17,K20)</f>
        <v>0</v>
      </c>
      <c r="D20" s="17" t="n">
        <f aca="false">INDEX(Calculo!$D$2:$D$17,K20)</f>
        <v>0</v>
      </c>
      <c r="E20" s="17" t="n">
        <f aca="false">INDEX(Calculo!$E$2:$E$17,K20)</f>
        <v>0</v>
      </c>
      <c r="F20" s="17" t="n">
        <f aca="false">INDEX(Calculo!$F$2:$F$17,K20)</f>
        <v>0</v>
      </c>
      <c r="G20" s="17" t="n">
        <f aca="false">INDEX(Calculo!$G$2:$G$17,K20)</f>
        <v>0</v>
      </c>
      <c r="H20" s="17" t="n">
        <f aca="false">INDEX(Calculo!$H$2:$H$17,K20)</f>
        <v>0</v>
      </c>
      <c r="I20" s="17" t="n">
        <f aca="false">INDEX(Calculo!$I$2:$I$17,K20)</f>
        <v>0</v>
      </c>
      <c r="J20" s="17" t="str">
        <f aca="false">IF(A20&lt;=8,"Clasifica","Eliminado")&amp;IF($M$1&lt;16," (provisorio)","")</f>
        <v>Eliminado (provisorio)</v>
      </c>
      <c r="K20" s="17" t="n">
        <f aca="false">INDEX(Calculo!$A$2:$A$17,MATCH(LARGE(Calculo!$J$2:$J$17,A20),Calculo!$J$2:$J$17,0))</f>
        <v>16</v>
      </c>
    </row>
  </sheetData>
  <conditionalFormatting sqref="A5:J20">
    <cfRule type="expression" priority="2" aboveAverage="0" equalAverage="0" bottom="0" percent="0" rank="0" text="" dxfId="2">
      <formula>$A5&lt;=8</formula>
    </cfRule>
    <cfRule type="expression" priority="3" aboveAverage="0" equalAverage="0" bottom="0" percent="0" rank="0" text="" dxfId="3">
      <formula>$A5&gt;8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02C4"/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5" min="4" style="0" width="8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3" t="s">
        <v>91</v>
      </c>
      <c r="B4" s="3" t="s">
        <v>92</v>
      </c>
      <c r="C4" s="3" t="s">
        <v>51</v>
      </c>
      <c r="D4" s="3" t="s">
        <v>93</v>
      </c>
      <c r="E4" s="3" t="s">
        <v>94</v>
      </c>
      <c r="F4" s="3" t="s">
        <v>54</v>
      </c>
      <c r="G4" s="3" t="s">
        <v>95</v>
      </c>
      <c r="H4" s="3" t="s">
        <v>96</v>
      </c>
      <c r="I4" s="3" t="s">
        <v>57</v>
      </c>
    </row>
    <row r="5" customFormat="false" ht="15" hidden="false" customHeight="false" outlineLevel="0" collapsed="false">
      <c r="A5" s="17" t="s">
        <v>97</v>
      </c>
      <c r="B5" s="17" t="n">
        <v>1</v>
      </c>
      <c r="C5" s="29" t="str">
        <f aca="false">Tabla!$B$5</f>
        <v>Cardozo / Cardozo</v>
      </c>
      <c r="D5" s="14"/>
      <c r="E5" s="14"/>
      <c r="F5" s="29" t="str">
        <f aca="false">Tabla!$B$12</f>
        <v>Rodrigo / Nazareno</v>
      </c>
      <c r="G5" s="17" t="n">
        <v>8</v>
      </c>
      <c r="H5" s="14"/>
      <c r="I5" s="28" t="str">
        <f aca="false">IF(OR(C5="",F5="",D5="",E5=""),"",IF(D5&gt;E5,C5,IF(E5&gt;D5,F5,"")))</f>
        <v/>
      </c>
    </row>
    <row r="6" customFormat="false" ht="15" hidden="false" customHeight="false" outlineLevel="0" collapsed="false">
      <c r="A6" s="17" t="s">
        <v>98</v>
      </c>
      <c r="B6" s="17" t="n">
        <v>4</v>
      </c>
      <c r="C6" s="29" t="str">
        <f aca="false">Tabla!$B$8</f>
        <v>Luciano / Gonzalo</v>
      </c>
      <c r="D6" s="14"/>
      <c r="E6" s="14"/>
      <c r="F6" s="29" t="str">
        <f aca="false">Tabla!$B$9</f>
        <v>Francisco / Marcos</v>
      </c>
      <c r="G6" s="17" t="n">
        <v>5</v>
      </c>
      <c r="H6" s="14"/>
      <c r="I6" s="28" t="str">
        <f aca="false">IF(OR(C6="",F6="",D6="",E6=""),"",IF(D6&gt;E6,C6,IF(E6&gt;D6,F6,"")))</f>
        <v/>
      </c>
    </row>
    <row r="7" customFormat="false" ht="15" hidden="false" customHeight="false" outlineLevel="0" collapsed="false">
      <c r="A7" s="17" t="s">
        <v>99</v>
      </c>
      <c r="B7" s="17" t="n">
        <v>2</v>
      </c>
      <c r="C7" s="29" t="str">
        <f aca="false">Tabla!$B$6</f>
        <v>Blas / Agustin</v>
      </c>
      <c r="D7" s="14"/>
      <c r="E7" s="14"/>
      <c r="F7" s="29" t="str">
        <f aca="false">Tabla!$B$11</f>
        <v>Simon / Joaquin</v>
      </c>
      <c r="G7" s="17" t="n">
        <v>7</v>
      </c>
      <c r="H7" s="14"/>
      <c r="I7" s="28" t="str">
        <f aca="false">IF(OR(C7="",F7="",D7="",E7=""),"",IF(D7&gt;E7,C7,IF(E7&gt;D7,F7,"")))</f>
        <v/>
      </c>
    </row>
    <row r="8" customFormat="false" ht="15" hidden="false" customHeight="false" outlineLevel="0" collapsed="false">
      <c r="A8" s="17" t="s">
        <v>100</v>
      </c>
      <c r="B8" s="17" t="n">
        <v>3</v>
      </c>
      <c r="C8" s="29" t="str">
        <f aca="false">Tabla!$B$7</f>
        <v>Diego / (a confirmar)</v>
      </c>
      <c r="D8" s="14"/>
      <c r="E8" s="14"/>
      <c r="F8" s="29" t="str">
        <f aca="false">Tabla!$B$10</f>
        <v>Luciano / Lautaro</v>
      </c>
      <c r="G8" s="17" t="n">
        <v>6</v>
      </c>
      <c r="H8" s="14"/>
      <c r="I8" s="28" t="str">
        <f aca="false">IF(OR(C8="",F8="",D8="",E8=""),"",IF(D8&gt;E8,C8,IF(E8&gt;D8,F8,"")))</f>
        <v/>
      </c>
    </row>
    <row r="9" customFormat="false" ht="15" hidden="false" customHeight="false" outlineLevel="0" collapsed="false">
      <c r="A9" s="17" t="s">
        <v>101</v>
      </c>
      <c r="B9" s="17"/>
      <c r="C9" s="29" t="str">
        <f aca="false">I5</f>
        <v/>
      </c>
      <c r="D9" s="14"/>
      <c r="E9" s="14"/>
      <c r="F9" s="29" t="str">
        <f aca="false">I6</f>
        <v/>
      </c>
      <c r="G9" s="17"/>
      <c r="H9" s="14"/>
      <c r="I9" s="28" t="str">
        <f aca="false">IF(OR(C9="",F9="",D9="",E9=""),"",IF(D9&gt;E9,C9,IF(E9&gt;D9,F9,"")))</f>
        <v/>
      </c>
    </row>
    <row r="10" customFormat="false" ht="15" hidden="false" customHeight="false" outlineLevel="0" collapsed="false">
      <c r="A10" s="17" t="s">
        <v>102</v>
      </c>
      <c r="B10" s="17"/>
      <c r="C10" s="29" t="str">
        <f aca="false">I7</f>
        <v/>
      </c>
      <c r="D10" s="14"/>
      <c r="E10" s="14"/>
      <c r="F10" s="29" t="str">
        <f aca="false">I8</f>
        <v/>
      </c>
      <c r="G10" s="17"/>
      <c r="H10" s="14"/>
      <c r="I10" s="28" t="str">
        <f aca="false">IF(OR(C10="",F10="",D10="",E10=""),"",IF(D10&gt;E10,C10,IF(E10&gt;D10,F10,"")))</f>
        <v/>
      </c>
    </row>
    <row r="11" customFormat="false" ht="15" hidden="false" customHeight="false" outlineLevel="0" collapsed="false">
      <c r="A11" s="17" t="s">
        <v>103</v>
      </c>
      <c r="B11" s="17"/>
      <c r="C11" s="29" t="str">
        <f aca="false">I9</f>
        <v/>
      </c>
      <c r="D11" s="14"/>
      <c r="E11" s="14"/>
      <c r="F11" s="29" t="str">
        <f aca="false">I10</f>
        <v/>
      </c>
      <c r="G11" s="17"/>
      <c r="H11" s="14"/>
      <c r="I11" s="28" t="str">
        <f aca="false">IF(OR(C11="",F11="",D11="",E11=""),"",IF(D11&gt;E11,C11,IF(E11&gt;D11,F11,"")))</f>
        <v/>
      </c>
    </row>
    <row r="13" customFormat="false" ht="17.35" hidden="false" customHeight="false" outlineLevel="0" collapsed="false">
      <c r="B13" s="30" t="s">
        <v>104</v>
      </c>
      <c r="C13" s="31" t="str">
        <f aca="false">IF(I11="","",I11)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9.7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3" t="s">
        <v>56</v>
      </c>
    </row>
    <row r="5" customFormat="false" ht="15" hidden="false" customHeight="false" outlineLevel="0" collapsed="false">
      <c r="A5" s="5" t="s">
        <v>107</v>
      </c>
    </row>
    <row r="6" customFormat="false" ht="15" hidden="false" customHeight="false" outlineLevel="0" collapsed="false">
      <c r="A6" s="5" t="s">
        <v>108</v>
      </c>
    </row>
    <row r="7" customFormat="false" ht="15" hidden="false" customHeight="false" outlineLevel="0" collapsed="false">
      <c r="A7" s="5" t="s">
        <v>109</v>
      </c>
    </row>
    <row r="8" customFormat="false" ht="15" hidden="false" customHeight="false" outlineLevel="0" collapsed="false">
      <c r="A8" s="5"/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5"/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110</v>
      </c>
      <c r="B1" s="0" t="str">
        <f aca="false">""&amp;Tabla!$M$1</f>
        <v>0</v>
      </c>
      <c r="C1" s="0" t="str">
        <f aca="false">""&amp;Playoffs!$C$13</f>
        <v/>
      </c>
    </row>
    <row r="2" customFormat="false" ht="15" hidden="false" customHeight="false" outlineLevel="0" collapsed="false">
      <c r="A2" s="0" t="s">
        <v>111</v>
      </c>
      <c r="B2" s="0" t="str">
        <f aca="false">""&amp;Tabla!A5</f>
        <v>1</v>
      </c>
      <c r="C2" s="0" t="str">
        <f aca="false">""&amp;Tabla!B5</f>
        <v>Cardozo / Cardozo</v>
      </c>
      <c r="D2" s="0" t="str">
        <f aca="false">""&amp;Tabla!C5</f>
        <v>0</v>
      </c>
      <c r="E2" s="0" t="str">
        <f aca="false">""&amp;Tabla!D5</f>
        <v>0</v>
      </c>
      <c r="F2" s="0" t="str">
        <f aca="false">""&amp;Tabla!E5</f>
        <v>0</v>
      </c>
      <c r="G2" s="0" t="str">
        <f aca="false">""&amp;Tabla!F5</f>
        <v>0</v>
      </c>
      <c r="H2" s="0" t="str">
        <f aca="false">""&amp;Tabla!G5</f>
        <v>0</v>
      </c>
      <c r="I2" s="0" t="str">
        <f aca="false">""&amp;Tabla!H5</f>
        <v>0</v>
      </c>
      <c r="J2" s="0" t="str">
        <f aca="false">""&amp;Tabla!I5</f>
        <v>0</v>
      </c>
    </row>
    <row r="3" customFormat="false" ht="15" hidden="false" customHeight="false" outlineLevel="0" collapsed="false">
      <c r="A3" s="0" t="s">
        <v>112</v>
      </c>
      <c r="B3" s="0" t="str">
        <f aca="false">""&amp;Tabla!A6</f>
        <v>2</v>
      </c>
      <c r="C3" s="0" t="str">
        <f aca="false">""&amp;Tabla!B6</f>
        <v>Blas / Agustin</v>
      </c>
      <c r="D3" s="0" t="str">
        <f aca="false">""&amp;Tabla!C6</f>
        <v>0</v>
      </c>
      <c r="E3" s="0" t="str">
        <f aca="false">""&amp;Tabla!D6</f>
        <v>0</v>
      </c>
      <c r="F3" s="0" t="str">
        <f aca="false">""&amp;Tabla!E6</f>
        <v>0</v>
      </c>
      <c r="G3" s="0" t="str">
        <f aca="false">""&amp;Tabla!F6</f>
        <v>0</v>
      </c>
      <c r="H3" s="0" t="str">
        <f aca="false">""&amp;Tabla!G6</f>
        <v>0</v>
      </c>
      <c r="I3" s="0" t="str">
        <f aca="false">""&amp;Tabla!H6</f>
        <v>0</v>
      </c>
      <c r="J3" s="0" t="str">
        <f aca="false">""&amp;Tabla!I6</f>
        <v>0</v>
      </c>
    </row>
    <row r="4" customFormat="false" ht="15" hidden="false" customHeight="false" outlineLevel="0" collapsed="false">
      <c r="A4" s="0" t="s">
        <v>113</v>
      </c>
      <c r="B4" s="0" t="str">
        <f aca="false">""&amp;Tabla!A7</f>
        <v>3</v>
      </c>
      <c r="C4" s="0" t="str">
        <f aca="false">""&amp;Tabla!B7</f>
        <v>Diego / (a confirmar)</v>
      </c>
      <c r="D4" s="0" t="str">
        <f aca="false">""&amp;Tabla!C7</f>
        <v>0</v>
      </c>
      <c r="E4" s="0" t="str">
        <f aca="false">""&amp;Tabla!D7</f>
        <v>0</v>
      </c>
      <c r="F4" s="0" t="str">
        <f aca="false">""&amp;Tabla!E7</f>
        <v>0</v>
      </c>
      <c r="G4" s="0" t="str">
        <f aca="false">""&amp;Tabla!F7</f>
        <v>0</v>
      </c>
      <c r="H4" s="0" t="str">
        <f aca="false">""&amp;Tabla!G7</f>
        <v>0</v>
      </c>
      <c r="I4" s="0" t="str">
        <f aca="false">""&amp;Tabla!H7</f>
        <v>0</v>
      </c>
      <c r="J4" s="0" t="str">
        <f aca="false">""&amp;Tabla!I7</f>
        <v>0</v>
      </c>
    </row>
    <row r="5" customFormat="false" ht="15" hidden="false" customHeight="false" outlineLevel="0" collapsed="false">
      <c r="A5" s="0" t="s">
        <v>114</v>
      </c>
      <c r="B5" s="0" t="str">
        <f aca="false">""&amp;Tabla!A8</f>
        <v>4</v>
      </c>
      <c r="C5" s="0" t="str">
        <f aca="false">""&amp;Tabla!B8</f>
        <v>Luciano / Gonzalo</v>
      </c>
      <c r="D5" s="0" t="str">
        <f aca="false">""&amp;Tabla!C8</f>
        <v>0</v>
      </c>
      <c r="E5" s="0" t="str">
        <f aca="false">""&amp;Tabla!D8</f>
        <v>0</v>
      </c>
      <c r="F5" s="0" t="str">
        <f aca="false">""&amp;Tabla!E8</f>
        <v>0</v>
      </c>
      <c r="G5" s="0" t="str">
        <f aca="false">""&amp;Tabla!F8</f>
        <v>0</v>
      </c>
      <c r="H5" s="0" t="str">
        <f aca="false">""&amp;Tabla!G8</f>
        <v>0</v>
      </c>
      <c r="I5" s="0" t="str">
        <f aca="false">""&amp;Tabla!H8</f>
        <v>0</v>
      </c>
      <c r="J5" s="0" t="str">
        <f aca="false">""&amp;Tabla!I8</f>
        <v>0</v>
      </c>
    </row>
    <row r="6" customFormat="false" ht="15" hidden="false" customHeight="false" outlineLevel="0" collapsed="false">
      <c r="A6" s="0" t="s">
        <v>115</v>
      </c>
      <c r="B6" s="0" t="str">
        <f aca="false">""&amp;Tabla!A9</f>
        <v>5</v>
      </c>
      <c r="C6" s="0" t="str">
        <f aca="false">""&amp;Tabla!B9</f>
        <v>Francisco / Marcos</v>
      </c>
      <c r="D6" s="0" t="str">
        <f aca="false">""&amp;Tabla!C9</f>
        <v>0</v>
      </c>
      <c r="E6" s="0" t="str">
        <f aca="false">""&amp;Tabla!D9</f>
        <v>0</v>
      </c>
      <c r="F6" s="0" t="str">
        <f aca="false">""&amp;Tabla!E9</f>
        <v>0</v>
      </c>
      <c r="G6" s="0" t="str">
        <f aca="false">""&amp;Tabla!F9</f>
        <v>0</v>
      </c>
      <c r="H6" s="0" t="str">
        <f aca="false">""&amp;Tabla!G9</f>
        <v>0</v>
      </c>
      <c r="I6" s="0" t="str">
        <f aca="false">""&amp;Tabla!H9</f>
        <v>0</v>
      </c>
      <c r="J6" s="0" t="str">
        <f aca="false">""&amp;Tabla!I9</f>
        <v>0</v>
      </c>
    </row>
    <row r="7" customFormat="false" ht="15" hidden="false" customHeight="false" outlineLevel="0" collapsed="false">
      <c r="A7" s="0" t="s">
        <v>116</v>
      </c>
      <c r="B7" s="0" t="str">
        <f aca="false">""&amp;Tabla!A10</f>
        <v>6</v>
      </c>
      <c r="C7" s="0" t="str">
        <f aca="false">""&amp;Tabla!B10</f>
        <v>Luciano / Lautaro</v>
      </c>
      <c r="D7" s="0" t="str">
        <f aca="false">""&amp;Tabla!C10</f>
        <v>0</v>
      </c>
      <c r="E7" s="0" t="str">
        <f aca="false">""&amp;Tabla!D10</f>
        <v>0</v>
      </c>
      <c r="F7" s="0" t="str">
        <f aca="false">""&amp;Tabla!E10</f>
        <v>0</v>
      </c>
      <c r="G7" s="0" t="str">
        <f aca="false">""&amp;Tabla!F10</f>
        <v>0</v>
      </c>
      <c r="H7" s="0" t="str">
        <f aca="false">""&amp;Tabla!G10</f>
        <v>0</v>
      </c>
      <c r="I7" s="0" t="str">
        <f aca="false">""&amp;Tabla!H10</f>
        <v>0</v>
      </c>
      <c r="J7" s="0" t="str">
        <f aca="false">""&amp;Tabla!I10</f>
        <v>0</v>
      </c>
    </row>
    <row r="8" customFormat="false" ht="15" hidden="false" customHeight="false" outlineLevel="0" collapsed="false">
      <c r="A8" s="0" t="s">
        <v>117</v>
      </c>
      <c r="B8" s="0" t="str">
        <f aca="false">""&amp;Tabla!A11</f>
        <v>7</v>
      </c>
      <c r="C8" s="0" t="str">
        <f aca="false">""&amp;Tabla!B11</f>
        <v>Simon / Joaquin</v>
      </c>
      <c r="D8" s="0" t="str">
        <f aca="false">""&amp;Tabla!C11</f>
        <v>0</v>
      </c>
      <c r="E8" s="0" t="str">
        <f aca="false">""&amp;Tabla!D11</f>
        <v>0</v>
      </c>
      <c r="F8" s="0" t="str">
        <f aca="false">""&amp;Tabla!E11</f>
        <v>0</v>
      </c>
      <c r="G8" s="0" t="str">
        <f aca="false">""&amp;Tabla!F11</f>
        <v>0</v>
      </c>
      <c r="H8" s="0" t="str">
        <f aca="false">""&amp;Tabla!G11</f>
        <v>0</v>
      </c>
      <c r="I8" s="0" t="str">
        <f aca="false">""&amp;Tabla!H11</f>
        <v>0</v>
      </c>
      <c r="J8" s="0" t="str">
        <f aca="false">""&amp;Tabla!I11</f>
        <v>0</v>
      </c>
    </row>
    <row r="9" customFormat="false" ht="15" hidden="false" customHeight="false" outlineLevel="0" collapsed="false">
      <c r="A9" s="0" t="s">
        <v>118</v>
      </c>
      <c r="B9" s="0" t="str">
        <f aca="false">""&amp;Tabla!A12</f>
        <v>8</v>
      </c>
      <c r="C9" s="0" t="str">
        <f aca="false">""&amp;Tabla!B12</f>
        <v>Rodrigo / Nazareno</v>
      </c>
      <c r="D9" s="0" t="str">
        <f aca="false">""&amp;Tabla!C12</f>
        <v>0</v>
      </c>
      <c r="E9" s="0" t="str">
        <f aca="false">""&amp;Tabla!D12</f>
        <v>0</v>
      </c>
      <c r="F9" s="0" t="str">
        <f aca="false">""&amp;Tabla!E12</f>
        <v>0</v>
      </c>
      <c r="G9" s="0" t="str">
        <f aca="false">""&amp;Tabla!F12</f>
        <v>0</v>
      </c>
      <c r="H9" s="0" t="str">
        <f aca="false">""&amp;Tabla!G12</f>
        <v>0</v>
      </c>
      <c r="I9" s="0" t="str">
        <f aca="false">""&amp;Tabla!H12</f>
        <v>0</v>
      </c>
      <c r="J9" s="0" t="str">
        <f aca="false">""&amp;Tabla!I12</f>
        <v>0</v>
      </c>
    </row>
    <row r="10" customFormat="false" ht="15" hidden="false" customHeight="false" outlineLevel="0" collapsed="false">
      <c r="A10" s="0" t="s">
        <v>119</v>
      </c>
      <c r="B10" s="0" t="str">
        <f aca="false">""&amp;Tabla!A13</f>
        <v>9</v>
      </c>
      <c r="C10" s="0" t="str">
        <f aca="false">""&amp;Tabla!B13</f>
        <v>Bautista / Luciano</v>
      </c>
      <c r="D10" s="0" t="str">
        <f aca="false">""&amp;Tabla!C13</f>
        <v>0</v>
      </c>
      <c r="E10" s="0" t="str">
        <f aca="false">""&amp;Tabla!D13</f>
        <v>0</v>
      </c>
      <c r="F10" s="0" t="str">
        <f aca="false">""&amp;Tabla!E13</f>
        <v>0</v>
      </c>
      <c r="G10" s="0" t="str">
        <f aca="false">""&amp;Tabla!F13</f>
        <v>0</v>
      </c>
      <c r="H10" s="0" t="str">
        <f aca="false">""&amp;Tabla!G13</f>
        <v>0</v>
      </c>
      <c r="I10" s="0" t="str">
        <f aca="false">""&amp;Tabla!H13</f>
        <v>0</v>
      </c>
      <c r="J10" s="0" t="str">
        <f aca="false">""&amp;Tabla!I13</f>
        <v>0</v>
      </c>
    </row>
    <row r="11" customFormat="false" ht="15" hidden="false" customHeight="false" outlineLevel="0" collapsed="false">
      <c r="A11" s="0" t="s">
        <v>120</v>
      </c>
      <c r="B11" s="0" t="str">
        <f aca="false">""&amp;Tabla!A14</f>
        <v>10</v>
      </c>
      <c r="C11" s="0" t="str">
        <f aca="false">""&amp;Tabla!B14</f>
        <v>Lucas / Martin</v>
      </c>
      <c r="D11" s="0" t="str">
        <f aca="false">""&amp;Tabla!C14</f>
        <v>0</v>
      </c>
      <c r="E11" s="0" t="str">
        <f aca="false">""&amp;Tabla!D14</f>
        <v>0</v>
      </c>
      <c r="F11" s="0" t="str">
        <f aca="false">""&amp;Tabla!E14</f>
        <v>0</v>
      </c>
      <c r="G11" s="0" t="str">
        <f aca="false">""&amp;Tabla!F14</f>
        <v>0</v>
      </c>
      <c r="H11" s="0" t="str">
        <f aca="false">""&amp;Tabla!G14</f>
        <v>0</v>
      </c>
      <c r="I11" s="0" t="str">
        <f aca="false">""&amp;Tabla!H14</f>
        <v>0</v>
      </c>
      <c r="J11" s="0" t="str">
        <f aca="false">""&amp;Tabla!I14</f>
        <v>0</v>
      </c>
    </row>
    <row r="12" customFormat="false" ht="15" hidden="false" customHeight="false" outlineLevel="0" collapsed="false">
      <c r="A12" s="0" t="s">
        <v>121</v>
      </c>
      <c r="B12" s="0" t="str">
        <f aca="false">""&amp;Tabla!A15</f>
        <v>11</v>
      </c>
      <c r="C12" s="0" t="str">
        <f aca="false">""&amp;Tabla!B15</f>
        <v>Agustin / Rodrigo</v>
      </c>
      <c r="D12" s="0" t="str">
        <f aca="false">""&amp;Tabla!C15</f>
        <v>0</v>
      </c>
      <c r="E12" s="0" t="str">
        <f aca="false">""&amp;Tabla!D15</f>
        <v>0</v>
      </c>
      <c r="F12" s="0" t="str">
        <f aca="false">""&amp;Tabla!E15</f>
        <v>0</v>
      </c>
      <c r="G12" s="0" t="str">
        <f aca="false">""&amp;Tabla!F15</f>
        <v>0</v>
      </c>
      <c r="H12" s="0" t="str">
        <f aca="false">""&amp;Tabla!G15</f>
        <v>0</v>
      </c>
      <c r="I12" s="0" t="str">
        <f aca="false">""&amp;Tabla!H15</f>
        <v>0</v>
      </c>
      <c r="J12" s="0" t="str">
        <f aca="false">""&amp;Tabla!I15</f>
        <v>0</v>
      </c>
    </row>
    <row r="13" customFormat="false" ht="15" hidden="false" customHeight="false" outlineLevel="0" collapsed="false">
      <c r="A13" s="0" t="s">
        <v>122</v>
      </c>
      <c r="B13" s="0" t="str">
        <f aca="false">""&amp;Tabla!A16</f>
        <v>12</v>
      </c>
      <c r="C13" s="0" t="str">
        <f aca="false">""&amp;Tabla!B16</f>
        <v>Enzo / Gonza</v>
      </c>
      <c r="D13" s="0" t="str">
        <f aca="false">""&amp;Tabla!C16</f>
        <v>0</v>
      </c>
      <c r="E13" s="0" t="str">
        <f aca="false">""&amp;Tabla!D16</f>
        <v>0</v>
      </c>
      <c r="F13" s="0" t="str">
        <f aca="false">""&amp;Tabla!E16</f>
        <v>0</v>
      </c>
      <c r="G13" s="0" t="str">
        <f aca="false">""&amp;Tabla!F16</f>
        <v>0</v>
      </c>
      <c r="H13" s="0" t="str">
        <f aca="false">""&amp;Tabla!G16</f>
        <v>0</v>
      </c>
      <c r="I13" s="0" t="str">
        <f aca="false">""&amp;Tabla!H16</f>
        <v>0</v>
      </c>
      <c r="J13" s="0" t="str">
        <f aca="false">""&amp;Tabla!I16</f>
        <v>0</v>
      </c>
    </row>
    <row r="14" customFormat="false" ht="15" hidden="false" customHeight="false" outlineLevel="0" collapsed="false">
      <c r="A14" s="0" t="s">
        <v>123</v>
      </c>
      <c r="B14" s="0" t="str">
        <f aca="false">""&amp;Tabla!A17</f>
        <v>13</v>
      </c>
      <c r="C14" s="0" t="str">
        <f aca="false">""&amp;Tabla!B17</f>
        <v>Pareja 13</v>
      </c>
      <c r="D14" s="0" t="str">
        <f aca="false">""&amp;Tabla!C17</f>
        <v>0</v>
      </c>
      <c r="E14" s="0" t="str">
        <f aca="false">""&amp;Tabla!D17</f>
        <v>0</v>
      </c>
      <c r="F14" s="0" t="str">
        <f aca="false">""&amp;Tabla!E17</f>
        <v>0</v>
      </c>
      <c r="G14" s="0" t="str">
        <f aca="false">""&amp;Tabla!F17</f>
        <v>0</v>
      </c>
      <c r="H14" s="0" t="str">
        <f aca="false">""&amp;Tabla!G17</f>
        <v>0</v>
      </c>
      <c r="I14" s="0" t="str">
        <f aca="false">""&amp;Tabla!H17</f>
        <v>0</v>
      </c>
      <c r="J14" s="0" t="str">
        <f aca="false">""&amp;Tabla!I17</f>
        <v>0</v>
      </c>
    </row>
    <row r="15" customFormat="false" ht="15" hidden="false" customHeight="false" outlineLevel="0" collapsed="false">
      <c r="A15" s="0" t="s">
        <v>124</v>
      </c>
      <c r="B15" s="0" t="str">
        <f aca="false">""&amp;Tabla!A18</f>
        <v>14</v>
      </c>
      <c r="C15" s="0" t="str">
        <f aca="false">""&amp;Tabla!B18</f>
        <v>Pareja 14</v>
      </c>
      <c r="D15" s="0" t="str">
        <f aca="false">""&amp;Tabla!C18</f>
        <v>0</v>
      </c>
      <c r="E15" s="0" t="str">
        <f aca="false">""&amp;Tabla!D18</f>
        <v>0</v>
      </c>
      <c r="F15" s="0" t="str">
        <f aca="false">""&amp;Tabla!E18</f>
        <v>0</v>
      </c>
      <c r="G15" s="0" t="str">
        <f aca="false">""&amp;Tabla!F18</f>
        <v>0</v>
      </c>
      <c r="H15" s="0" t="str">
        <f aca="false">""&amp;Tabla!G18</f>
        <v>0</v>
      </c>
      <c r="I15" s="0" t="str">
        <f aca="false">""&amp;Tabla!H18</f>
        <v>0</v>
      </c>
      <c r="J15" s="0" t="str">
        <f aca="false">""&amp;Tabla!I18</f>
        <v>0</v>
      </c>
    </row>
    <row r="16" customFormat="false" ht="15" hidden="false" customHeight="false" outlineLevel="0" collapsed="false">
      <c r="A16" s="0" t="s">
        <v>125</v>
      </c>
      <c r="B16" s="0" t="str">
        <f aca="false">""&amp;Tabla!A19</f>
        <v>15</v>
      </c>
      <c r="C16" s="0" t="str">
        <f aca="false">""&amp;Tabla!B19</f>
        <v>Pareja 15</v>
      </c>
      <c r="D16" s="0" t="str">
        <f aca="false">""&amp;Tabla!C19</f>
        <v>0</v>
      </c>
      <c r="E16" s="0" t="str">
        <f aca="false">""&amp;Tabla!D19</f>
        <v>0</v>
      </c>
      <c r="F16" s="0" t="str">
        <f aca="false">""&amp;Tabla!E19</f>
        <v>0</v>
      </c>
      <c r="G16" s="0" t="str">
        <f aca="false">""&amp;Tabla!F19</f>
        <v>0</v>
      </c>
      <c r="H16" s="0" t="str">
        <f aca="false">""&amp;Tabla!G19</f>
        <v>0</v>
      </c>
      <c r="I16" s="0" t="str">
        <f aca="false">""&amp;Tabla!H19</f>
        <v>0</v>
      </c>
      <c r="J16" s="0" t="str">
        <f aca="false">""&amp;Tabla!I19</f>
        <v>0</v>
      </c>
    </row>
    <row r="17" customFormat="false" ht="15" hidden="false" customHeight="false" outlineLevel="0" collapsed="false">
      <c r="A17" s="0" t="s">
        <v>126</v>
      </c>
      <c r="B17" s="0" t="str">
        <f aca="false">""&amp;Tabla!A20</f>
        <v>16</v>
      </c>
      <c r="C17" s="0" t="str">
        <f aca="false">""&amp;Tabla!B20</f>
        <v>Pareja 16</v>
      </c>
      <c r="D17" s="0" t="str">
        <f aca="false">""&amp;Tabla!C20</f>
        <v>0</v>
      </c>
      <c r="E17" s="0" t="str">
        <f aca="false">""&amp;Tabla!D20</f>
        <v>0</v>
      </c>
      <c r="F17" s="0" t="str">
        <f aca="false">""&amp;Tabla!E20</f>
        <v>0</v>
      </c>
      <c r="G17" s="0" t="str">
        <f aca="false">""&amp;Tabla!F20</f>
        <v>0</v>
      </c>
      <c r="H17" s="0" t="str">
        <f aca="false">""&amp;Tabla!G20</f>
        <v>0</v>
      </c>
      <c r="I17" s="0" t="str">
        <f aca="false">""&amp;Tabla!H20</f>
        <v>0</v>
      </c>
      <c r="J17" s="0" t="str">
        <f aca="false">""&amp;Tabla!I20</f>
        <v>0</v>
      </c>
    </row>
    <row r="18" customFormat="false" ht="15" hidden="false" customHeight="false" outlineLevel="0" collapsed="false">
      <c r="A18" s="0" t="s">
        <v>127</v>
      </c>
      <c r="B18" s="0" t="str">
        <f aca="false">""&amp;Suizo!B5</f>
        <v>R1</v>
      </c>
      <c r="C18" s="0" t="str">
        <f aca="false">""&amp;Suizo!C5</f>
        <v>1</v>
      </c>
      <c r="D18" s="0" t="str">
        <f aca="false">""&amp;Suizo!D5</f>
        <v>Cardozo / Cardozo</v>
      </c>
      <c r="E18" s="0" t="str">
        <f aca="false">""&amp;Suizo!E5</f>
        <v/>
      </c>
      <c r="F18" s="0" t="str">
        <f aca="false">""&amp;Suizo!F5</f>
        <v/>
      </c>
      <c r="G18" s="0" t="str">
        <f aca="false">""&amp;Suizo!G5</f>
        <v>Simon / Joaquin</v>
      </c>
      <c r="H18" s="0" t="str">
        <f aca="false">""&amp;Suizo!H5</f>
        <v>7</v>
      </c>
      <c r="I18" s="0" t="str">
        <f aca="false">""&amp;Suizo!I5</f>
        <v/>
      </c>
      <c r="J18" s="0" t="str">
        <f aca="false">""&amp;Suizo!J5</f>
        <v/>
      </c>
    </row>
    <row r="19" customFormat="false" ht="15" hidden="false" customHeight="false" outlineLevel="0" collapsed="false">
      <c r="A19" s="0" t="s">
        <v>128</v>
      </c>
      <c r="B19" s="0" t="str">
        <f aca="false">""&amp;Suizo!B6</f>
        <v>R1</v>
      </c>
      <c r="C19" s="0" t="str">
        <f aca="false">""&amp;Suizo!C6</f>
        <v>3</v>
      </c>
      <c r="D19" s="0" t="str">
        <f aca="false">""&amp;Suizo!D6</f>
        <v>Diego / (a confirmar)</v>
      </c>
      <c r="E19" s="0" t="str">
        <f aca="false">""&amp;Suizo!E6</f>
        <v/>
      </c>
      <c r="F19" s="0" t="str">
        <f aca="false">""&amp;Suizo!F6</f>
        <v/>
      </c>
      <c r="G19" s="0" t="str">
        <f aca="false">""&amp;Suizo!G6</f>
        <v>Luciano / Gonzalo</v>
      </c>
      <c r="H19" s="0" t="str">
        <f aca="false">""&amp;Suizo!H6</f>
        <v>4</v>
      </c>
      <c r="I19" s="0" t="str">
        <f aca="false">""&amp;Suizo!I6</f>
        <v/>
      </c>
      <c r="J19" s="0" t="str">
        <f aca="false">""&amp;Suizo!J6</f>
        <v/>
      </c>
    </row>
    <row r="20" customFormat="false" ht="15" hidden="false" customHeight="false" outlineLevel="0" collapsed="false">
      <c r="A20" s="0" t="s">
        <v>129</v>
      </c>
      <c r="B20" s="0" t="str">
        <f aca="false">""&amp;Suizo!B7</f>
        <v>R1</v>
      </c>
      <c r="C20" s="0" t="str">
        <f aca="false">""&amp;Suizo!C7</f>
        <v>11</v>
      </c>
      <c r="D20" s="0" t="str">
        <f aca="false">""&amp;Suizo!D7</f>
        <v>Agustin / Rodrigo</v>
      </c>
      <c r="E20" s="0" t="str">
        <f aca="false">""&amp;Suizo!E7</f>
        <v/>
      </c>
      <c r="F20" s="0" t="str">
        <f aca="false">""&amp;Suizo!F7</f>
        <v/>
      </c>
      <c r="G20" s="0" t="str">
        <f aca="false">""&amp;Suizo!G7</f>
        <v>Francisco / Marcos</v>
      </c>
      <c r="H20" s="0" t="str">
        <f aca="false">""&amp;Suizo!H7</f>
        <v>5</v>
      </c>
      <c r="I20" s="0" t="str">
        <f aca="false">""&amp;Suizo!I7</f>
        <v/>
      </c>
      <c r="J20" s="0" t="str">
        <f aca="false">""&amp;Suizo!J7</f>
        <v/>
      </c>
    </row>
    <row r="21" customFormat="false" ht="15" hidden="false" customHeight="false" outlineLevel="0" collapsed="false">
      <c r="A21" s="0" t="s">
        <v>130</v>
      </c>
      <c r="B21" s="0" t="str">
        <f aca="false">""&amp;Suizo!B8</f>
        <v>R1</v>
      </c>
      <c r="C21" s="0" t="str">
        <f aca="false">""&amp;Suizo!C8</f>
        <v>8</v>
      </c>
      <c r="D21" s="0" t="str">
        <f aca="false">""&amp;Suizo!D8</f>
        <v>Rodrigo / Nazareno</v>
      </c>
      <c r="E21" s="0" t="str">
        <f aca="false">""&amp;Suizo!E8</f>
        <v/>
      </c>
      <c r="F21" s="0" t="str">
        <f aca="false">""&amp;Suizo!F8</f>
        <v/>
      </c>
      <c r="G21" s="0" t="str">
        <f aca="false">""&amp;Suizo!G8</f>
        <v>Enzo / Gonza</v>
      </c>
      <c r="H21" s="0" t="str">
        <f aca="false">""&amp;Suizo!H8</f>
        <v>12</v>
      </c>
      <c r="I21" s="0" t="str">
        <f aca="false">""&amp;Suizo!I8</f>
        <v/>
      </c>
      <c r="J21" s="0" t="str">
        <f aca="false">""&amp;Suizo!J8</f>
        <v/>
      </c>
    </row>
    <row r="22" customFormat="false" ht="15" hidden="false" customHeight="false" outlineLevel="0" collapsed="false">
      <c r="A22" s="0" t="s">
        <v>131</v>
      </c>
      <c r="B22" s="0" t="str">
        <f aca="false">""&amp;Suizo!B9</f>
        <v>R1</v>
      </c>
      <c r="C22" s="0" t="str">
        <f aca="false">""&amp;Suizo!C9</f>
        <v>10</v>
      </c>
      <c r="D22" s="0" t="str">
        <f aca="false">""&amp;Suizo!D9</f>
        <v>Lucas / Martin</v>
      </c>
      <c r="E22" s="0" t="str">
        <f aca="false">""&amp;Suizo!E9</f>
        <v/>
      </c>
      <c r="F22" s="0" t="str">
        <f aca="false">""&amp;Suizo!F9</f>
        <v/>
      </c>
      <c r="G22" s="0" t="str">
        <f aca="false">""&amp;Suizo!G9</f>
        <v>Bautista / Luciano</v>
      </c>
      <c r="H22" s="0" t="str">
        <f aca="false">""&amp;Suizo!H9</f>
        <v>9</v>
      </c>
      <c r="I22" s="0" t="str">
        <f aca="false">""&amp;Suizo!I9</f>
        <v/>
      </c>
      <c r="J22" s="0" t="str">
        <f aca="false">""&amp;Suizo!J9</f>
        <v/>
      </c>
    </row>
    <row r="23" customFormat="false" ht="15" hidden="false" customHeight="false" outlineLevel="0" collapsed="false">
      <c r="A23" s="0" t="s">
        <v>132</v>
      </c>
      <c r="B23" s="0" t="str">
        <f aca="false">""&amp;Suizo!B10</f>
        <v>R1</v>
      </c>
      <c r="C23" s="0" t="str">
        <f aca="false">""&amp;Suizo!C10</f>
        <v>6</v>
      </c>
      <c r="D23" s="0" t="str">
        <f aca="false">""&amp;Suizo!D10</f>
        <v>Luciano / Lautaro</v>
      </c>
      <c r="E23" s="0" t="str">
        <f aca="false">""&amp;Suizo!E10</f>
        <v/>
      </c>
      <c r="F23" s="0" t="str">
        <f aca="false">""&amp;Suizo!F10</f>
        <v/>
      </c>
      <c r="G23" s="0" t="str">
        <f aca="false">""&amp;Suizo!G10</f>
        <v>Blas / Agustin</v>
      </c>
      <c r="H23" s="0" t="str">
        <f aca="false">""&amp;Suizo!H10</f>
        <v>2</v>
      </c>
      <c r="I23" s="0" t="str">
        <f aca="false">""&amp;Suizo!I10</f>
        <v/>
      </c>
      <c r="J23" s="0" t="str">
        <f aca="false">""&amp;Suizo!J10</f>
        <v/>
      </c>
    </row>
    <row r="24" customFormat="false" ht="15" hidden="false" customHeight="false" outlineLevel="0" collapsed="false">
      <c r="A24" s="0" t="s">
        <v>133</v>
      </c>
      <c r="B24" s="0" t="str">
        <f aca="false">""&amp;Suizo!B11</f>
        <v>R1</v>
      </c>
      <c r="C24" s="0" t="str">
        <f aca="false">""&amp;Suizo!C11</f>
        <v>13</v>
      </c>
      <c r="D24" s="0" t="str">
        <f aca="false">""&amp;Suizo!D11</f>
        <v>Pareja 13</v>
      </c>
      <c r="E24" s="0" t="str">
        <f aca="false">""&amp;Suizo!E11</f>
        <v/>
      </c>
      <c r="F24" s="0" t="str">
        <f aca="false">""&amp;Suizo!F11</f>
        <v/>
      </c>
      <c r="G24" s="0" t="str">
        <f aca="false">""&amp;Suizo!G11</f>
        <v>Pareja 14</v>
      </c>
      <c r="H24" s="0" t="str">
        <f aca="false">""&amp;Suizo!H11</f>
        <v>14</v>
      </c>
      <c r="I24" s="0" t="str">
        <f aca="false">""&amp;Suizo!I11</f>
        <v/>
      </c>
      <c r="J24" s="0" t="str">
        <f aca="false">""&amp;Suizo!J11</f>
        <v/>
      </c>
    </row>
    <row r="25" customFormat="false" ht="15" hidden="false" customHeight="false" outlineLevel="0" collapsed="false">
      <c r="A25" s="0" t="s">
        <v>134</v>
      </c>
      <c r="B25" s="0" t="str">
        <f aca="false">""&amp;Suizo!B12</f>
        <v>R1</v>
      </c>
      <c r="C25" s="0" t="str">
        <f aca="false">""&amp;Suizo!C12</f>
        <v>15</v>
      </c>
      <c r="D25" s="0" t="str">
        <f aca="false">""&amp;Suizo!D12</f>
        <v>Pareja 15</v>
      </c>
      <c r="E25" s="0" t="str">
        <f aca="false">""&amp;Suizo!E12</f>
        <v/>
      </c>
      <c r="F25" s="0" t="str">
        <f aca="false">""&amp;Suizo!F12</f>
        <v/>
      </c>
      <c r="G25" s="0" t="str">
        <f aca="false">""&amp;Suizo!G12</f>
        <v>Pareja 16</v>
      </c>
      <c r="H25" s="0" t="str">
        <f aca="false">""&amp;Suizo!H12</f>
        <v>16</v>
      </c>
      <c r="I25" s="0" t="str">
        <f aca="false">""&amp;Suizo!I12</f>
        <v/>
      </c>
      <c r="J25" s="0" t="str">
        <f aca="false">""&amp;Suizo!J12</f>
        <v/>
      </c>
    </row>
    <row r="26" customFormat="false" ht="15" hidden="false" customHeight="false" outlineLevel="0" collapsed="false">
      <c r="A26" s="0" t="s">
        <v>135</v>
      </c>
      <c r="B26" s="0" t="str">
        <f aca="false">""&amp;Suizo!B13</f>
        <v>R2</v>
      </c>
      <c r="C26" s="0" t="str">
        <f aca="false">""&amp;Suizo!C13</f>
        <v/>
      </c>
      <c r="D26" s="0" t="str">
        <f aca="false">""&amp;Suizo!D13</f>
        <v>Esperando ronda 1: faltan 8 ganador(es)</v>
      </c>
      <c r="E26" s="0" t="str">
        <f aca="false">""&amp;Suizo!E13</f>
        <v/>
      </c>
      <c r="F26" s="0" t="str">
        <f aca="false">""&amp;Suizo!F13</f>
        <v/>
      </c>
      <c r="G26" s="0" t="str">
        <f aca="false">""&amp;Suizo!G13</f>
        <v/>
      </c>
      <c r="H26" s="0" t="str">
        <f aca="false">""&amp;Suizo!H13</f>
        <v/>
      </c>
      <c r="I26" s="0" t="str">
        <f aca="false">""&amp;Suizo!I13</f>
        <v/>
      </c>
      <c r="J26" s="0" t="str">
        <f aca="false">""&amp;Suizo!J13</f>
        <v/>
      </c>
    </row>
    <row r="27" customFormat="false" ht="15" hidden="false" customHeight="false" outlineLevel="0" collapsed="false">
      <c r="A27" s="0" t="s">
        <v>136</v>
      </c>
      <c r="B27" s="0" t="str">
        <f aca="false">""&amp;Suizo!B14</f>
        <v>R2</v>
      </c>
      <c r="C27" s="0" t="str">
        <f aca="false">""&amp;Suizo!C14</f>
        <v/>
      </c>
      <c r="D27" s="0" t="str">
        <f aca="false">""&amp;Suizo!D14</f>
        <v>Esperando ronda 1: faltan 8 ganador(es)</v>
      </c>
      <c r="E27" s="0" t="str">
        <f aca="false">""&amp;Suizo!E14</f>
        <v/>
      </c>
      <c r="F27" s="0" t="str">
        <f aca="false">""&amp;Suizo!F14</f>
        <v/>
      </c>
      <c r="G27" s="0" t="str">
        <f aca="false">""&amp;Suizo!G14</f>
        <v/>
      </c>
      <c r="H27" s="0" t="str">
        <f aca="false">""&amp;Suizo!H14</f>
        <v/>
      </c>
      <c r="I27" s="0" t="str">
        <f aca="false">""&amp;Suizo!I14</f>
        <v/>
      </c>
      <c r="J27" s="0" t="str">
        <f aca="false">""&amp;Suizo!J14</f>
        <v/>
      </c>
    </row>
    <row r="28" customFormat="false" ht="15" hidden="false" customHeight="false" outlineLevel="0" collapsed="false">
      <c r="A28" s="0" t="s">
        <v>137</v>
      </c>
      <c r="B28" s="0" t="str">
        <f aca="false">""&amp;Suizo!B15</f>
        <v>R2</v>
      </c>
      <c r="C28" s="0" t="str">
        <f aca="false">""&amp;Suizo!C15</f>
        <v/>
      </c>
      <c r="D28" s="0" t="str">
        <f aca="false">""&amp;Suizo!D15</f>
        <v>Esperando ronda 1: faltan 8 ganador(es)</v>
      </c>
      <c r="E28" s="0" t="str">
        <f aca="false">""&amp;Suizo!E15</f>
        <v/>
      </c>
      <c r="F28" s="0" t="str">
        <f aca="false">""&amp;Suizo!F15</f>
        <v/>
      </c>
      <c r="G28" s="0" t="str">
        <f aca="false">""&amp;Suizo!G15</f>
        <v/>
      </c>
      <c r="H28" s="0" t="str">
        <f aca="false">""&amp;Suizo!H15</f>
        <v/>
      </c>
      <c r="I28" s="0" t="str">
        <f aca="false">""&amp;Suizo!I15</f>
        <v/>
      </c>
      <c r="J28" s="0" t="str">
        <f aca="false">""&amp;Suizo!J15</f>
        <v/>
      </c>
    </row>
    <row r="29" customFormat="false" ht="15" hidden="false" customHeight="false" outlineLevel="0" collapsed="false">
      <c r="A29" s="0" t="s">
        <v>138</v>
      </c>
      <c r="B29" s="0" t="str">
        <f aca="false">""&amp;Suizo!B16</f>
        <v>R2</v>
      </c>
      <c r="C29" s="0" t="str">
        <f aca="false">""&amp;Suizo!C16</f>
        <v/>
      </c>
      <c r="D29" s="0" t="str">
        <f aca="false">""&amp;Suizo!D16</f>
        <v>Esperando ronda 1: faltan 8 ganador(es)</v>
      </c>
      <c r="E29" s="0" t="str">
        <f aca="false">""&amp;Suizo!E16</f>
        <v/>
      </c>
      <c r="F29" s="0" t="str">
        <f aca="false">""&amp;Suizo!F16</f>
        <v/>
      </c>
      <c r="G29" s="0" t="str">
        <f aca="false">""&amp;Suizo!G16</f>
        <v/>
      </c>
      <c r="H29" s="0" t="str">
        <f aca="false">""&amp;Suizo!H16</f>
        <v/>
      </c>
      <c r="I29" s="0" t="str">
        <f aca="false">""&amp;Suizo!I16</f>
        <v/>
      </c>
      <c r="J29" s="0" t="str">
        <f aca="false">""&amp;Suizo!J16</f>
        <v/>
      </c>
    </row>
    <row r="30" customFormat="false" ht="15" hidden="false" customHeight="false" outlineLevel="0" collapsed="false">
      <c r="A30" s="0" t="s">
        <v>139</v>
      </c>
      <c r="B30" s="0" t="str">
        <f aca="false">""&amp;Suizo!B17</f>
        <v>R2</v>
      </c>
      <c r="C30" s="0" t="str">
        <f aca="false">""&amp;Suizo!C17</f>
        <v/>
      </c>
      <c r="D30" s="0" t="str">
        <f aca="false">""&amp;Suizo!D17</f>
        <v>Esperando ronda 1: faltan 8 ganador(es)</v>
      </c>
      <c r="E30" s="0" t="str">
        <f aca="false">""&amp;Suizo!E17</f>
        <v/>
      </c>
      <c r="F30" s="0" t="str">
        <f aca="false">""&amp;Suizo!F17</f>
        <v/>
      </c>
      <c r="G30" s="0" t="str">
        <f aca="false">""&amp;Suizo!G17</f>
        <v/>
      </c>
      <c r="H30" s="0" t="str">
        <f aca="false">""&amp;Suizo!H17</f>
        <v/>
      </c>
      <c r="I30" s="0" t="str">
        <f aca="false">""&amp;Suizo!I17</f>
        <v/>
      </c>
      <c r="J30" s="0" t="str">
        <f aca="false">""&amp;Suizo!J17</f>
        <v/>
      </c>
    </row>
    <row r="31" customFormat="false" ht="15" hidden="false" customHeight="false" outlineLevel="0" collapsed="false">
      <c r="A31" s="0" t="s">
        <v>140</v>
      </c>
      <c r="B31" s="0" t="str">
        <f aca="false">""&amp;Suizo!B18</f>
        <v>R2</v>
      </c>
      <c r="C31" s="0" t="str">
        <f aca="false">""&amp;Suizo!C18</f>
        <v/>
      </c>
      <c r="D31" s="0" t="str">
        <f aca="false">""&amp;Suizo!D18</f>
        <v>Esperando ronda 1: faltan 8 ganador(es)</v>
      </c>
      <c r="E31" s="0" t="str">
        <f aca="false">""&amp;Suizo!E18</f>
        <v/>
      </c>
      <c r="F31" s="0" t="str">
        <f aca="false">""&amp;Suizo!F18</f>
        <v/>
      </c>
      <c r="G31" s="0" t="str">
        <f aca="false">""&amp;Suizo!G18</f>
        <v/>
      </c>
      <c r="H31" s="0" t="str">
        <f aca="false">""&amp;Suizo!H18</f>
        <v/>
      </c>
      <c r="I31" s="0" t="str">
        <f aca="false">""&amp;Suizo!I18</f>
        <v/>
      </c>
      <c r="J31" s="0" t="str">
        <f aca="false">""&amp;Suizo!J18</f>
        <v/>
      </c>
    </row>
    <row r="32" customFormat="false" ht="15" hidden="false" customHeight="false" outlineLevel="0" collapsed="false">
      <c r="A32" s="0" t="s">
        <v>141</v>
      </c>
      <c r="B32" s="0" t="str">
        <f aca="false">""&amp;Suizo!B19</f>
        <v>R2</v>
      </c>
      <c r="C32" s="0" t="str">
        <f aca="false">""&amp;Suizo!C19</f>
        <v/>
      </c>
      <c r="D32" s="0" t="str">
        <f aca="false">""&amp;Suizo!D19</f>
        <v>Esperando ronda 1: faltan 8 ganador(es)</v>
      </c>
      <c r="E32" s="0" t="str">
        <f aca="false">""&amp;Suizo!E19</f>
        <v/>
      </c>
      <c r="F32" s="0" t="str">
        <f aca="false">""&amp;Suizo!F19</f>
        <v/>
      </c>
      <c r="G32" s="0" t="str">
        <f aca="false">""&amp;Suizo!G19</f>
        <v/>
      </c>
      <c r="H32" s="0" t="str">
        <f aca="false">""&amp;Suizo!H19</f>
        <v/>
      </c>
      <c r="I32" s="0" t="str">
        <f aca="false">""&amp;Suizo!I19</f>
        <v/>
      </c>
      <c r="J32" s="0" t="str">
        <f aca="false">""&amp;Suizo!J19</f>
        <v/>
      </c>
    </row>
    <row r="33" customFormat="false" ht="15" hidden="false" customHeight="false" outlineLevel="0" collapsed="false">
      <c r="A33" s="0" t="s">
        <v>142</v>
      </c>
      <c r="B33" s="0" t="str">
        <f aca="false">""&amp;Suizo!B20</f>
        <v>R2</v>
      </c>
      <c r="C33" s="0" t="str">
        <f aca="false">""&amp;Suizo!C20</f>
        <v/>
      </c>
      <c r="D33" s="0" t="str">
        <f aca="false">""&amp;Suizo!D20</f>
        <v>Esperando ronda 1: faltan 8 ganador(es)</v>
      </c>
      <c r="E33" s="0" t="str">
        <f aca="false">""&amp;Suizo!E20</f>
        <v/>
      </c>
      <c r="F33" s="0" t="str">
        <f aca="false">""&amp;Suizo!F20</f>
        <v/>
      </c>
      <c r="G33" s="0" t="str">
        <f aca="false">""&amp;Suizo!G20</f>
        <v/>
      </c>
      <c r="H33" s="0" t="str">
        <f aca="false">""&amp;Suizo!H20</f>
        <v/>
      </c>
      <c r="I33" s="0" t="str">
        <f aca="false">""&amp;Suizo!I20</f>
        <v/>
      </c>
      <c r="J33" s="0" t="str">
        <f aca="false">""&amp;Suizo!J20</f>
        <v/>
      </c>
    </row>
    <row r="34" customFormat="false" ht="15" hidden="false" customHeight="false" outlineLevel="0" collapsed="false">
      <c r="A34" s="0" t="s">
        <v>143</v>
      </c>
      <c r="B34" s="0" t="str">
        <f aca="false">""&amp;Playoffs!B5</f>
        <v>1</v>
      </c>
      <c r="C34" s="0" t="str">
        <f aca="false">""&amp;Playoffs!C5</f>
        <v>Cardozo / Cardozo</v>
      </c>
      <c r="D34" s="0" t="str">
        <f aca="false">""&amp;Playoffs!D5</f>
        <v/>
      </c>
      <c r="E34" s="0" t="str">
        <f aca="false">""&amp;Playoffs!E5</f>
        <v/>
      </c>
      <c r="F34" s="0" t="str">
        <f aca="false">""&amp;Playoffs!F5</f>
        <v>Rodrigo / Nazareno</v>
      </c>
      <c r="G34" s="0" t="str">
        <f aca="false">""&amp;Playoffs!G5</f>
        <v>8</v>
      </c>
      <c r="H34" s="0" t="str">
        <f aca="false">""&amp;Playoffs!H5</f>
        <v/>
      </c>
      <c r="I34" s="0" t="str">
        <f aca="false">""&amp;Playoffs!I5</f>
        <v/>
      </c>
    </row>
    <row r="35" customFormat="false" ht="15" hidden="false" customHeight="false" outlineLevel="0" collapsed="false">
      <c r="A35" s="0" t="s">
        <v>144</v>
      </c>
      <c r="B35" s="0" t="str">
        <f aca="false">""&amp;Playoffs!B6</f>
        <v>4</v>
      </c>
      <c r="C35" s="0" t="str">
        <f aca="false">""&amp;Playoffs!C6</f>
        <v>Luciano / Gonzalo</v>
      </c>
      <c r="D35" s="0" t="str">
        <f aca="false">""&amp;Playoffs!D6</f>
        <v/>
      </c>
      <c r="E35" s="0" t="str">
        <f aca="false">""&amp;Playoffs!E6</f>
        <v/>
      </c>
      <c r="F35" s="0" t="str">
        <f aca="false">""&amp;Playoffs!F6</f>
        <v>Francisco / Marcos</v>
      </c>
      <c r="G35" s="0" t="str">
        <f aca="false">""&amp;Playoffs!G6</f>
        <v>5</v>
      </c>
      <c r="H35" s="0" t="str">
        <f aca="false">""&amp;Playoffs!H6</f>
        <v/>
      </c>
      <c r="I35" s="0" t="str">
        <f aca="false">""&amp;Playoffs!I6</f>
        <v/>
      </c>
    </row>
    <row r="36" customFormat="false" ht="15" hidden="false" customHeight="false" outlineLevel="0" collapsed="false">
      <c r="A36" s="0" t="s">
        <v>145</v>
      </c>
      <c r="B36" s="0" t="str">
        <f aca="false">""&amp;Playoffs!B7</f>
        <v>2</v>
      </c>
      <c r="C36" s="0" t="str">
        <f aca="false">""&amp;Playoffs!C7</f>
        <v>Blas / Agustin</v>
      </c>
      <c r="D36" s="0" t="str">
        <f aca="false">""&amp;Playoffs!D7</f>
        <v/>
      </c>
      <c r="E36" s="0" t="str">
        <f aca="false">""&amp;Playoffs!E7</f>
        <v/>
      </c>
      <c r="F36" s="0" t="str">
        <f aca="false">""&amp;Playoffs!F7</f>
        <v>Simon / Joaquin</v>
      </c>
      <c r="G36" s="0" t="str">
        <f aca="false">""&amp;Playoffs!G7</f>
        <v>7</v>
      </c>
      <c r="H36" s="0" t="str">
        <f aca="false">""&amp;Playoffs!H7</f>
        <v/>
      </c>
      <c r="I36" s="0" t="str">
        <f aca="false">""&amp;Playoffs!I7</f>
        <v/>
      </c>
    </row>
    <row r="37" customFormat="false" ht="15" hidden="false" customHeight="false" outlineLevel="0" collapsed="false">
      <c r="A37" s="0" t="s">
        <v>146</v>
      </c>
      <c r="B37" s="0" t="str">
        <f aca="false">""&amp;Playoffs!B8</f>
        <v>3</v>
      </c>
      <c r="C37" s="0" t="str">
        <f aca="false">""&amp;Playoffs!C8</f>
        <v>Diego / (a confirmar)</v>
      </c>
      <c r="D37" s="0" t="str">
        <f aca="false">""&amp;Playoffs!D8</f>
        <v/>
      </c>
      <c r="E37" s="0" t="str">
        <f aca="false">""&amp;Playoffs!E8</f>
        <v/>
      </c>
      <c r="F37" s="0" t="str">
        <f aca="false">""&amp;Playoffs!F8</f>
        <v>Luciano / Lautaro</v>
      </c>
      <c r="G37" s="0" t="str">
        <f aca="false">""&amp;Playoffs!G8</f>
        <v>6</v>
      </c>
      <c r="H37" s="0" t="str">
        <f aca="false">""&amp;Playoffs!H8</f>
        <v/>
      </c>
      <c r="I37" s="0" t="str">
        <f aca="false">""&amp;Playoffs!I8</f>
        <v/>
      </c>
    </row>
    <row r="38" customFormat="false" ht="15" hidden="false" customHeight="false" outlineLevel="0" collapsed="false">
      <c r="A38" s="0" t="s">
        <v>147</v>
      </c>
      <c r="B38" s="0" t="str">
        <f aca="false">""&amp;Playoffs!B9</f>
        <v/>
      </c>
      <c r="C38" s="0" t="str">
        <f aca="false">""&amp;Playoffs!C9</f>
        <v/>
      </c>
      <c r="D38" s="0" t="str">
        <f aca="false">""&amp;Playoffs!D9</f>
        <v/>
      </c>
      <c r="E38" s="0" t="str">
        <f aca="false">""&amp;Playoffs!E9</f>
        <v/>
      </c>
      <c r="F38" s="0" t="str">
        <f aca="false">""&amp;Playoffs!F9</f>
        <v/>
      </c>
      <c r="G38" s="0" t="str">
        <f aca="false">""&amp;Playoffs!G9</f>
        <v/>
      </c>
      <c r="H38" s="0" t="str">
        <f aca="false">""&amp;Playoffs!H9</f>
        <v/>
      </c>
      <c r="I38" s="0" t="str">
        <f aca="false">""&amp;Playoffs!I9</f>
        <v/>
      </c>
    </row>
    <row r="39" customFormat="false" ht="15" hidden="false" customHeight="false" outlineLevel="0" collapsed="false">
      <c r="A39" s="0" t="s">
        <v>148</v>
      </c>
      <c r="B39" s="0" t="str">
        <f aca="false">""&amp;Playoffs!B10</f>
        <v/>
      </c>
      <c r="C39" s="0" t="str">
        <f aca="false">""&amp;Playoffs!C10</f>
        <v/>
      </c>
      <c r="D39" s="0" t="str">
        <f aca="false">""&amp;Playoffs!D10</f>
        <v/>
      </c>
      <c r="E39" s="0" t="str">
        <f aca="false">""&amp;Playoffs!E10</f>
        <v/>
      </c>
      <c r="F39" s="0" t="str">
        <f aca="false">""&amp;Playoffs!F10</f>
        <v/>
      </c>
      <c r="G39" s="0" t="str">
        <f aca="false">""&amp;Playoffs!G10</f>
        <v/>
      </c>
      <c r="H39" s="0" t="str">
        <f aca="false">""&amp;Playoffs!H10</f>
        <v/>
      </c>
      <c r="I39" s="0" t="str">
        <f aca="false">""&amp;Playoffs!I10</f>
        <v/>
      </c>
    </row>
    <row r="40" customFormat="false" ht="15" hidden="false" customHeight="false" outlineLevel="0" collapsed="false">
      <c r="A40" s="0" t="s">
        <v>149</v>
      </c>
      <c r="B40" s="0" t="str">
        <f aca="false">""&amp;Playoffs!B11</f>
        <v/>
      </c>
      <c r="C40" s="0" t="str">
        <f aca="false">""&amp;Playoffs!C11</f>
        <v/>
      </c>
      <c r="D40" s="0" t="str">
        <f aca="false">""&amp;Playoffs!D11</f>
        <v/>
      </c>
      <c r="E40" s="0" t="str">
        <f aca="false">""&amp;Playoffs!E11</f>
        <v/>
      </c>
      <c r="F40" s="0" t="str">
        <f aca="false">""&amp;Playoffs!F11</f>
        <v/>
      </c>
      <c r="G40" s="0" t="str">
        <f aca="false">""&amp;Playoffs!G11</f>
        <v/>
      </c>
      <c r="H40" s="0" t="str">
        <f aca="false">""&amp;Playoffs!H11</f>
        <v/>
      </c>
      <c r="I40" s="0" t="str">
        <f aca="false">""&amp;Playoffs!I11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2026-10-10T18:01:50Z</dcterms:created>
  <dc:creator>openpyxl</dc:creator>
  <dc:description/>
  <dc:language>en-US</dc:language>
  <cp:lastModifiedBy/>
  <dcterms:modified xsi:type="dcterms:W3CDTF">2026-10-10T18:01:50Z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